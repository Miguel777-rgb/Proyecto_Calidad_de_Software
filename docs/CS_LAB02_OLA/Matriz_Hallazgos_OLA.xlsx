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allazgos" sheetId="1" state="visible" r:id="rId1"/>
    <sheet name="Lista de revisión" sheetId="2" state="visible" r:id="rId2"/>
    <sheet name="Métricas" sheetId="3" state="visible" r:id="rId3"/>
    <sheet name="Pruebas y cobertura" sheetId="4" state="visible" r:id="rId4"/>
    <sheet name="Escenario de cambio" sheetId="5" state="visible" r:id="rId5"/>
    <sheet name="Alternativa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3849"/>
      <sz val="14"/>
    </font>
    <font>
      <name val="Arial"/>
      <charset val="1"/>
      <family val="0"/>
      <i val="1"/>
      <color rgb="FF465B62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sz val="9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i val="1"/>
      <color rgb="FF465B62"/>
      <sz val="9"/>
    </font>
    <font>
      <name val="Arial"/>
      <b val="1"/>
      <color rgb="FFFFFFFF"/>
      <sz val="10"/>
    </font>
    <font>
      <name val="Arial"/>
      <b val="1"/>
      <color rgb="FF0F3849"/>
      <sz val="14"/>
    </font>
    <font>
      <name val="Arial"/>
      <b val="1"/>
      <color rgb="FF0F3849"/>
      <sz val="11"/>
    </font>
  </fonts>
  <fills count="12">
    <fill>
      <patternFill/>
    </fill>
    <fill>
      <patternFill patternType="gray125"/>
    </fill>
    <fill>
      <patternFill patternType="solid">
        <fgColor rgb="FF0F3849"/>
        <bgColor rgb="FF333333"/>
      </patternFill>
    </fill>
    <fill>
      <patternFill patternType="solid">
        <fgColor rgb="FFF8DCD6"/>
        <bgColor rgb="FFFBF1D9"/>
      </patternFill>
    </fill>
    <fill>
      <patternFill patternType="solid">
        <fgColor rgb="FFFBF1D9"/>
        <bgColor rgb="FFF2F2F2"/>
      </patternFill>
    </fill>
    <fill>
      <patternFill patternType="solid">
        <fgColor rgb="FFEEF4F4"/>
        <bgColor rgb="FFF2F2F2"/>
      </patternFill>
    </fill>
    <fill>
      <patternFill patternType="solid">
        <fgColor rgb="FFE4F2E7"/>
        <bgColor rgb="FFEEF4F4"/>
      </patternFill>
    </fill>
    <fill>
      <patternFill patternType="solid">
        <fgColor rgb="FFF2F2F2"/>
        <bgColor rgb="FFEEF4F4"/>
      </patternFill>
    </fill>
    <fill>
      <patternFill patternType="solid">
        <fgColor rgb="FFF8DCD6"/>
      </patternFill>
    </fill>
    <fill>
      <patternFill patternType="solid">
        <fgColor rgb="FFFBF1D9"/>
      </patternFill>
    </fill>
    <fill>
      <patternFill patternType="solid">
        <fgColor rgb="FFEEF4F4"/>
      </patternFill>
    </fill>
    <fill>
      <patternFill patternType="solid">
        <fgColor rgb="FF0F3849"/>
      </patternFill>
    </fill>
  </fills>
  <borders count="4">
    <border>
      <left/>
      <right/>
      <top/>
      <bottom/>
      <diagonal/>
    </border>
    <border>
      <left style="thin">
        <color rgb="FFB9CBCC"/>
      </left>
      <right style="thin">
        <color rgb="FFB9CBCC"/>
      </right>
      <top style="thin">
        <color rgb="FFB9CBCC"/>
      </top>
      <bottom style="thin">
        <color rgb="FFB9CBCC"/>
      </bottom>
      <diagonal/>
    </border>
    <border/>
    <border>
      <left style="thin">
        <color rgb="FFB9CBCC"/>
      </left>
      <right style="thin">
        <color rgb="FFB9CBCC"/>
      </right>
      <top style="thin">
        <color rgb="FFB9CBCC"/>
      </top>
      <bottom style="thin">
        <color rgb="FFB9CB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9" fontId="8" fillId="0" borderId="1" applyAlignment="1" pivotButton="0" quotePrefix="0" xfId="0">
      <alignment horizontal="center" vertical="top" wrapText="1"/>
    </xf>
    <xf numFmtId="9" fontId="7" fillId="0" borderId="1" applyAlignment="1" pivotButton="0" quotePrefix="0" xfId="0">
      <alignment horizontal="center" vertical="top" wrapText="1"/>
    </xf>
    <xf numFmtId="2" fontId="7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horizontal="left" vertical="top" wrapText="1"/>
    </xf>
    <xf numFmtId="0" fontId="10" fillId="8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horizontal="center" vertical="top" wrapText="1"/>
    </xf>
    <xf numFmtId="0" fontId="10" fillId="9" borderId="3" applyAlignment="1" pivotButton="0" quotePrefix="0" xfId="0">
      <alignment horizontal="center" vertical="top" wrapText="1"/>
    </xf>
    <xf numFmtId="0" fontId="10" fillId="10" borderId="3" applyAlignment="1" pivotButton="0" quotePrefix="0" xfId="0">
      <alignment horizontal="center" vertical="top" wrapText="1"/>
    </xf>
    <xf numFmtId="0" fontId="10" fillId="0" borderId="2" pivotButton="0" quotePrefix="0" xfId="0"/>
    <xf numFmtId="0" fontId="12" fillId="0" borderId="2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13" fillId="0" borderId="2" pivotButton="0" quotePrefix="0" xfId="0"/>
    <xf numFmtId="0" fontId="14" fillId="11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top" wrapText="1"/>
    </xf>
    <xf numFmtId="2" fontId="10" fillId="0" borderId="3" applyAlignment="1" pivotButton="0" quotePrefix="0" xfId="0">
      <alignment horizontal="center" vertical="top" wrapText="1"/>
    </xf>
    <xf numFmtId="0" fontId="15" fillId="0" borderId="0" pivotButton="0" quotePrefix="0" xfId="0"/>
    <xf numFmtId="0" fontId="13" fillId="0" borderId="0" pivotButton="0" quotePrefix="0" xfId="0"/>
    <xf numFmtId="10" fontId="10" fillId="0" borderId="3" applyAlignment="1" pivotButton="0" quotePrefix="0" xfId="0">
      <alignment horizontal="center" vertical="top" wrapText="1"/>
    </xf>
    <xf numFmtId="0" fontId="16" fillId="0" borderId="0" pivotButton="0" quotePrefix="0" xfId="0"/>
    <xf numFmtId="10" fontId="11" fillId="0" borderId="3" applyAlignment="1" pivotButton="0" quotePrefix="0" xfId="0">
      <alignment horizontal="center" vertical="top" wrapText="1"/>
    </xf>
    <xf numFmtId="0" fontId="12" fillId="0" borderId="0" applyAlignment="1" pivotButton="0" quotePrefix="0" xfId="0">
      <alignment vertical="top" wrapText="1"/>
    </xf>
    <xf numFmtId="0" fontId="15" fillId="0" borderId="0" applyAlignment="1" pivotButton="0" quotePrefix="0" xfId="0">
      <alignment horizontal="general" vertical="bottom"/>
    </xf>
    <xf numFmtId="9" fontId="8" fillId="0" borderId="1" applyAlignment="1" pivotButton="0" quotePrefix="0" xfId="0">
      <alignment horizontal="center" vertical="top" wrapText="1"/>
    </xf>
    <xf numFmtId="9" fontId="7" fillId="0" borderId="1" applyAlignment="1" pivotButton="0" quotePrefix="0" xfId="0">
      <alignment horizontal="center" vertical="top" wrapText="1"/>
    </xf>
    <xf numFmtId="2" fontId="7" fillId="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BCC"/>
      <rgbColor rgb="FF808080"/>
      <rgbColor rgb="FF9999FF"/>
      <rgbColor rgb="FF993366"/>
      <rgbColor rgb="FFFBF1D9"/>
      <rgbColor rgb="FFE4F2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4"/>
      <rgbColor rgb="FFF2F2F2"/>
      <rgbColor rgb="FFFFFF99"/>
      <rgbColor rgb="FF99CCFF"/>
      <rgbColor rgb="FFFF99CC"/>
      <rgbColor rgb="FFCC99FF"/>
      <rgbColor rgb="FFF8DCD6"/>
      <rgbColor rgb="FF3366FF"/>
      <rgbColor rgb="FF33CCCC"/>
      <rgbColor rgb="FF99CC00"/>
      <rgbColor rgb="FFFFCC00"/>
      <rgbColor rgb="FFFF9900"/>
      <rgbColor rgb="FFFF6600"/>
      <rgbColor rgb="FF465B62"/>
      <rgbColor rgb="FF969696"/>
      <rgbColor rgb="FF0F38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9" min="1" max="1"/>
    <col width="24" customWidth="1" style="19" min="2" max="2"/>
    <col width="52" customWidth="1" style="19" min="3" max="3"/>
    <col width="26" customWidth="1" style="19" min="4" max="4"/>
    <col width="40" customWidth="1" style="19" min="5" max="5"/>
    <col width="11" customWidth="1" style="19" min="6" max="6"/>
    <col width="10" customWidth="1" style="19" min="7" max="10"/>
    <col width="34" customWidth="1" style="19" min="11" max="11"/>
    <col width="16" customWidth="1" style="19" min="12" max="12"/>
  </cols>
  <sheetData>
    <row r="1" ht="17.35" customHeight="1" s="20">
      <c r="A1" s="21" t="inlineStr">
        <is>
          <t>Matriz de hallazgos</t>
        </is>
      </c>
    </row>
    <row r="2" ht="15" customHeight="1" s="20">
      <c r="A2" s="22" t="inlineStr">
        <is>
          <t>OLA · módulo «Alertas y avisos» · commit d5c054f (13/09/2026) · revisión del 05/10/2026 · mediciones del 06/10/2026</t>
        </is>
      </c>
    </row>
    <row r="4" ht="30" customHeight="1" s="20">
      <c r="A4" s="23" t="inlineStr">
        <is>
          <t>ID</t>
        </is>
      </c>
      <c r="B4" s="23" t="inlineStr">
        <is>
          <t>Unidad revisada</t>
        </is>
      </c>
      <c r="C4" s="23" t="inlineStr">
        <is>
          <t>Hallazgo</t>
        </is>
      </c>
      <c r="D4" s="23" t="inlineStr">
        <is>
          <t>Principio / atributo afectado</t>
        </is>
      </c>
      <c r="E4" s="23" t="inlineStr">
        <is>
          <t>Evidencia</t>
        </is>
      </c>
      <c r="F4" s="23" t="inlineStr">
        <is>
          <t>Severidad</t>
        </is>
      </c>
      <c r="G4" s="23" t="inlineStr">
        <is>
          <t>Impacto (1-5)</t>
        </is>
      </c>
      <c r="H4" s="23" t="inlineStr">
        <is>
          <t>Esfuerzo (1-5)</t>
        </is>
      </c>
      <c r="I4" s="23" t="inlineStr">
        <is>
          <t>Puntaje</t>
        </is>
      </c>
      <c r="J4" s="23" t="inlineStr">
        <is>
          <t>Prioridad</t>
        </is>
      </c>
      <c r="K4" s="23" t="inlineStr">
        <is>
          <t>Decisión</t>
        </is>
      </c>
      <c r="L4" s="23" t="inlineStr">
        <is>
          <t>Estado</t>
        </is>
      </c>
    </row>
    <row r="5" ht="78" customHeight="1" s="20">
      <c r="A5" s="24" t="inlineStr">
        <is>
          <t>H-01</t>
        </is>
      </c>
      <c r="B5" s="25" t="inlineStr">
        <is>
          <t>services.notification_service</t>
        </is>
      </c>
      <c r="C5" s="25" t="inlineStr">
        <is>
          <t>El módulo reúne cinco responsabilidades (planificar avisos, persistirlos, redactar el mensaje, enviarlo y marcar la lectura) y construye 4 sentencias SQL sin pasar por el repositorio.</t>
        </is>
      </c>
      <c r="D5" s="25" t="inlineStr">
        <is>
          <t>SRP · respeto de capas · modificabilidad</t>
        </is>
      </c>
      <c r="E5" s="25" t="inlineStr">
        <is>
          <t>E-01, E-03, E-05. notification_service.py:46-55, 85-90, 104-110, 125-130. LOC 141, CCsum 20.</t>
        </is>
      </c>
      <c r="F5" s="26" t="inlineStr">
        <is>
          <t>Alta</t>
        </is>
      </c>
      <c r="G5" s="27" t="n">
        <v>5</v>
      </c>
      <c r="H5" s="27" t="n">
        <v>3</v>
      </c>
      <c r="I5" s="27">
        <f>G5*10-H5</f>
        <v/>
      </c>
      <c r="J5" s="27">
        <f>RANK(I5,$I$5:$I$16)</f>
        <v/>
      </c>
      <c r="K5" s="25" t="inlineStr">
        <is>
          <t>Refactorizar: el servicio solo coordina; la persistencia pasa al repositorio y el envío a un despachador (R2).</t>
        </is>
      </c>
      <c r="L5" s="25" t="inlineStr">
        <is>
          <t>Resuelto en el parche (validado, pendiente de aplicar)</t>
        </is>
      </c>
    </row>
    <row r="6" ht="78" customHeight="1" s="20">
      <c r="A6" s="24" t="inlineStr">
        <is>
          <t>H-02</t>
        </is>
      </c>
      <c r="B6" s="25" t="inlineStr">
        <is>
          <t>services.notification_service · repositories.notifications_repo</t>
        </is>
      </c>
      <c r="C6" s="25" t="inlineStr">
        <is>
          <t>Los canales no son extensibles: CANALES es una tupla fija, send_pending solo sabe enviar correo y el repositorio filtra por EMAIL en dos consultas. Un canal nuevo obliga a modificar el servicio, el repositorio, el router y las dependencias.</t>
        </is>
      </c>
      <c r="D6" s="25" t="inlineStr">
        <is>
          <t>OCP · modificabilidad</t>
        </is>
      </c>
      <c r="E6" s="25" t="inlineStr">
        <is>
          <t>E-01, E-05, E-10. notification_service.py:36, 153-179; notifications_repo.py:55-71, 74-80. En el escenario webhook cambian 6 módulos existentes.</t>
        </is>
      </c>
      <c r="F6" s="26" t="inlineStr">
        <is>
          <t>Alta</t>
        </is>
      </c>
      <c r="G6" s="27" t="n">
        <v>5</v>
      </c>
      <c r="H6" s="27" t="n">
        <v>3</v>
      </c>
      <c r="I6" s="27">
        <f>G6*10-H6</f>
        <v/>
      </c>
      <c r="J6" s="27">
        <f>RANK(I6,$I$5:$I$16)</f>
        <v/>
      </c>
      <c r="K6" s="25" t="inlineStr">
        <is>
          <t>Rediseñar con un contrato Channel y un registro de canales (R1). count_by_status, que solo alimenta el resumen del envío, sigue contando el correo.</t>
        </is>
      </c>
      <c r="L6" s="25" t="inlineStr">
        <is>
          <t>Resuelto en el parche (validado, pendiente de aplicar)</t>
        </is>
      </c>
    </row>
    <row r="7" ht="78" customHeight="1" s="20">
      <c r="A7" s="24" t="inlineStr">
        <is>
          <t>H-03</t>
        </is>
      </c>
      <c r="B7" s="25" t="inlineStr">
        <is>
          <t>services.notification_service</t>
        </is>
      </c>
      <c r="C7" s="25" t="inlineStr">
        <is>
          <t>El bloque insert … on_conflict_do_nothing … returning y el diccionario de la fila están duplicados en create_for_events y notify_open_alerts_of.</t>
        </is>
      </c>
      <c r="D7" s="25" t="inlineStr">
        <is>
          <t>DRY · mantenibilidad</t>
        </is>
      </c>
      <c r="E7" s="25" t="inlineStr">
        <is>
          <t>E-05. notification_service.py:71-90 y 114-131.</t>
        </is>
      </c>
      <c r="F7" s="28" t="inlineStr">
        <is>
          <t>Media</t>
        </is>
      </c>
      <c r="G7" s="27" t="n">
        <v>3</v>
      </c>
      <c r="H7" s="27" t="n">
        <v>1</v>
      </c>
      <c r="I7" s="27">
        <f>G7*10-H7</f>
        <v/>
      </c>
      <c r="J7" s="27">
        <f>RANK(I7,$I$5:$I$16)</f>
        <v/>
      </c>
      <c r="K7" s="25" t="inlineStr">
        <is>
          <t>Unificar en notifications_repo.insert_pending y domain.notices.plan_rows (R2).</t>
        </is>
      </c>
      <c r="L7" s="25" t="inlineStr">
        <is>
          <t>Resuelto en el parche (validado, pendiente de aplicar)</t>
        </is>
      </c>
    </row>
    <row r="8" ht="78" customHeight="1" s="20">
      <c r="A8" s="24" t="inlineStr">
        <is>
          <t>H-04</t>
        </is>
      </c>
      <c r="B8" s="25" t="inlineStr">
        <is>
          <t>clock.Clock · services.notification_service</t>
        </is>
      </c>
      <c r="C8" s="25" t="inlineStr">
        <is>
          <t>La abstracción Clock (con SystemClock y FixedClock) no la importa ningún módulo de producción (Ca = 0). notification_service llama a datetime.now(UTC) en 3 lugares.</t>
        </is>
      </c>
      <c r="D8" s="25" t="inlineStr">
        <is>
          <t>DIP · comprobabilidad</t>
        </is>
      </c>
      <c r="E8" s="25" t="inlineStr">
        <is>
          <t>E-01, E-03. clock.py:15-31; notification_service.py:175, 187, 194.</t>
        </is>
      </c>
      <c r="F8" s="28" t="inlineStr">
        <is>
          <t>Media</t>
        </is>
      </c>
      <c r="G8" s="27" t="n">
        <v>3</v>
      </c>
      <c r="H8" s="27" t="n">
        <v>1</v>
      </c>
      <c r="I8" s="27">
        <f>G8*10-H8</f>
        <v/>
      </c>
      <c r="J8" s="27">
        <f>RANK(I8,$I$5:$I$16)</f>
        <v/>
      </c>
      <c r="K8" s="25" t="inlineStr">
        <is>
          <t>Inyectar Clock en el despachador y en la marca de lectura (R2).</t>
        </is>
      </c>
      <c r="L8" s="25" t="inlineStr">
        <is>
          <t>Resuelto en el parche (validado, pendiente de aplicar)</t>
        </is>
      </c>
    </row>
    <row r="9" ht="78" customHeight="1" s="20">
      <c r="A9" s="24" t="inlineStr">
        <is>
          <t>H-05</t>
        </is>
      </c>
      <c r="B9" s="25" t="inlineStr">
        <is>
          <t>services.notification_service</t>
        </is>
      </c>
      <c r="C9" s="25" t="inlineStr">
        <is>
          <t>La lógica de envío (reintentos, registro del fallo, límite de la tanda) no puede probarse sin PostgreSQL: tiene 0 pruebas unitarias y 34 de integración.</t>
        </is>
      </c>
      <c r="D9" s="25" t="inlineStr">
        <is>
          <t>Comprobabilidad</t>
        </is>
      </c>
      <c r="E9" s="25" t="inlineStr">
        <is>
          <t>E-09. tests/integration/test_notifications.py: 34 pruebas, 12.5-12.9 s en 5 ejecuciones.</t>
        </is>
      </c>
      <c r="F9" s="26" t="inlineStr">
        <is>
          <t>Alta</t>
        </is>
      </c>
      <c r="G9" s="27" t="n">
        <v>4</v>
      </c>
      <c r="H9" s="27" t="n">
        <v>3</v>
      </c>
      <c r="I9" s="27">
        <f>G9*10-H9</f>
        <v/>
      </c>
      <c r="J9" s="27">
        <f>RANK(I9,$I$5:$I$16)</f>
        <v/>
      </c>
      <c r="K9" s="25" t="inlineStr">
        <is>
          <t>Extraer la lógica a NotificationDispatcher, que depende de los protocolos NotificationStore, Channel y Clock (R2).</t>
        </is>
      </c>
      <c r="L9" s="25" t="inlineStr">
        <is>
          <t>Resuelto en el parche (validado, pendiente de aplicar)</t>
        </is>
      </c>
    </row>
    <row r="10" ht="78" customHeight="1" s="20">
      <c r="A10" s="24" t="inlineStr">
        <is>
          <t>H-06</t>
        </is>
      </c>
      <c r="B10" s="25" t="inlineStr">
        <is>
          <t>services.alert_service</t>
        </is>
      </c>
      <c r="C10" s="25" t="inlineStr">
        <is>
          <t>El servicio construye 4 sentencias SQL en lugar de usar alerts_repo: la consulta y el borrado de los episodios obsoletos, el upsert de los vigentes y la consulta de los identificadores existentes.</t>
        </is>
      </c>
      <c r="D10" s="25" t="inlineStr">
        <is>
          <t>Respeto de capas · mantenibilidad</t>
        </is>
      </c>
      <c r="E10" s="25" t="inlineStr">
        <is>
          <t>E-01, E-03. alert_service.py:60-105 y 163.</t>
        </is>
      </c>
      <c r="F10" s="28" t="inlineStr">
        <is>
          <t>Media</t>
        </is>
      </c>
      <c r="G10" s="27" t="n">
        <v>3</v>
      </c>
      <c r="H10" s="27" t="n">
        <v>3</v>
      </c>
      <c r="I10" s="27">
        <f>G10*10-H10</f>
        <v/>
      </c>
      <c r="J10" s="27">
        <f>RANK(I10,$I$5:$I$16)</f>
        <v/>
      </c>
      <c r="K10" s="25" t="inlineStr">
        <is>
          <t>Mover el upsert y las consultas a alerts_repo.</t>
        </is>
      </c>
      <c r="L10" s="25" t="inlineStr">
        <is>
          <t>Pendiente</t>
        </is>
      </c>
    </row>
    <row r="11" ht="78" customHeight="1" s="20">
      <c r="A11" s="24" t="inlineStr">
        <is>
          <t>H-07</t>
        </is>
      </c>
      <c r="B11" s="25" t="inlineStr">
        <is>
          <t>mail.SmtpMailer</t>
        </is>
      </c>
      <c r="C11" s="25" t="inlineStr">
        <is>
          <t>Recibe el objeto Settings completo (21 campos) y usa 6: acoplamiento de sello. Por esa importación, todo módulo que use mail carga pydantic y la configuración.</t>
        </is>
      </c>
      <c r="D11" s="25" t="inlineStr">
        <is>
          <t>ISP · acoplamiento</t>
        </is>
      </c>
      <c r="E11" s="25" t="inlineStr">
        <is>
          <t>E-03, E-07. mail.py:14, 31-46; config.py:23-60.</t>
        </is>
      </c>
      <c r="F11" s="29" t="inlineStr">
        <is>
          <t>Baja</t>
        </is>
      </c>
      <c r="G11" s="27" t="n">
        <v>2</v>
      </c>
      <c r="H11" s="27" t="n">
        <v>1</v>
      </c>
      <c r="I11" s="27">
        <f>G11*10-H11</f>
        <v/>
      </c>
      <c r="J11" s="27">
        <f>RANK(I11,$I$5:$I$16)</f>
        <v/>
      </c>
      <c r="K11" s="25" t="inlineStr">
        <is>
          <t>Pasar una configuración SMTP propia de 6 campos.</t>
        </is>
      </c>
      <c r="L11" s="25" t="inlineStr">
        <is>
          <t>Pendiente</t>
        </is>
      </c>
    </row>
    <row r="12" ht="78" customHeight="1" s="20">
      <c r="A12" s="24" t="inlineStr">
        <is>
          <t>H-08</t>
        </is>
      </c>
      <c r="B12" s="25" t="inlineStr">
        <is>
          <t>mail.RecordingMailer</t>
        </is>
      </c>
      <c r="C12" s="25" t="inlineStr">
        <is>
          <t>Un doble de prueba vive en un módulo de producción.</t>
        </is>
      </c>
      <c r="D12" s="25" t="inlineStr">
        <is>
          <t>Cohesión</t>
        </is>
      </c>
      <c r="E12" s="25" t="inlineStr">
        <is>
          <t>mail.py:49-59.</t>
        </is>
      </c>
      <c r="F12" s="29" t="inlineStr">
        <is>
          <t>Baja</t>
        </is>
      </c>
      <c r="G12" s="27" t="n">
        <v>1</v>
      </c>
      <c r="H12" s="27" t="n">
        <v>1</v>
      </c>
      <c r="I12" s="27">
        <f>G12*10-H12</f>
        <v/>
      </c>
      <c r="J12" s="27">
        <f>RANK(I12,$I$5:$I$16)</f>
        <v/>
      </c>
      <c r="K12" s="25" t="inlineStr">
        <is>
          <t>Mover a tests/ cuando se toquen las pruebas.</t>
        </is>
      </c>
      <c r="L12" s="25" t="inlineStr">
        <is>
          <t>Aceptado por ahora</t>
        </is>
      </c>
    </row>
    <row r="13" ht="78" customHeight="1" s="20">
      <c r="A13" s="24" t="inlineStr">
        <is>
          <t>H-09</t>
        </is>
      </c>
      <c r="B13" s="25" t="inlineStr">
        <is>
          <t>domain.messages · db.models</t>
        </is>
      </c>
      <c r="C13" s="25" t="inlineStr">
        <is>
          <t>El estado se recibe como str y se traduce con dos diccionarios paralelos; AlertState duplica a ThermalState y exige un conversor.</t>
        </is>
      </c>
      <c r="D13" s="25" t="inlineStr">
        <is>
          <t>Obsesión por primitivos · DRY</t>
        </is>
      </c>
      <c r="E13" s="25" t="inlineStr">
        <is>
          <t>messages.py:16-17, 51-52; alert_service.py:40-41.</t>
        </is>
      </c>
      <c r="F13" s="29" t="inlineStr">
        <is>
          <t>Baja</t>
        </is>
      </c>
      <c r="G13" s="27" t="n">
        <v>2</v>
      </c>
      <c r="H13" s="27" t="n">
        <v>2</v>
      </c>
      <c r="I13" s="27">
        <f>G13*10-H13</f>
        <v/>
      </c>
      <c r="J13" s="27">
        <f>RANK(I13,$I$5:$I$16)</f>
        <v/>
      </c>
      <c r="K13" s="25" t="inlineStr">
        <is>
          <t>Usar ThermalState en los mensajes y un solo enumerado.</t>
        </is>
      </c>
      <c r="L13" s="25" t="inlineStr">
        <is>
          <t>Pendiente</t>
        </is>
      </c>
    </row>
    <row r="14" ht="78" customHeight="1" s="20">
      <c r="A14" s="24" t="inlineStr">
        <is>
          <t>H-10</t>
        </is>
      </c>
      <c r="B14" s="25" t="inlineStr">
        <is>
          <t>api.routers.alerts · api.routers.subscriptions</t>
        </is>
      </c>
      <c r="C14" s="25" t="inlineStr">
        <is>
          <t>El router coordina dos servicios (evaluar y registrar avisos), accede a 4 repositorios directamente y repite 4 veces la búsqueda de laboratorio con su error 404.</t>
        </is>
      </c>
      <c r="D14" s="25" t="inlineStr">
        <is>
          <t>SRP · DRY · respeto de capas</t>
        </is>
      </c>
      <c r="E14" s="25" t="inlineStr">
        <is>
          <t>E-03. routers/alerts.py:26-34, 47-58, 78-83; subscriptions.py:39-44, 62-67. Ce = 10, I = 0.91.</t>
        </is>
      </c>
      <c r="F14" s="28" t="inlineStr">
        <is>
          <t>Media</t>
        </is>
      </c>
      <c r="G14" s="27" t="n">
        <v>3</v>
      </c>
      <c r="H14" s="27" t="n">
        <v>2</v>
      </c>
      <c r="I14" s="27">
        <f>G14*10-H14</f>
        <v/>
      </c>
      <c r="J14" s="27">
        <f>RANK(I14,$I$5:$I$16)</f>
        <v/>
      </c>
      <c r="K14" s="25" t="inlineStr">
        <is>
          <t>Crear una dependencia LaboratoryDep y un caso de uso evaluate_and_notify.</t>
        </is>
      </c>
      <c r="L14" s="25" t="inlineStr">
        <is>
          <t>Pendiente</t>
        </is>
      </c>
    </row>
    <row r="15" ht="78" customHeight="1" s="20">
      <c r="A15" s="24" t="inlineStr">
        <is>
          <t>H-11</t>
        </is>
      </c>
      <c r="B15" s="25" t="inlineStr">
        <is>
          <t>db.models.Notification</t>
        </is>
      </c>
      <c r="C15" s="25" t="inlineStr">
        <is>
          <t>El canal se guarda como tipo enumerado de PostgreSQL: añadir un canal exige una migración en cualquier diseño.</t>
        </is>
      </c>
      <c r="D15" s="25" t="inlineStr">
        <is>
          <t>Modificabilidad</t>
        </is>
      </c>
      <c r="E15" s="25" t="inlineStr">
        <is>
          <t>E-10. models.py:309-316; alembic/versions/9c022526c786_suscripciones_y_notificaciones.py:44-46.</t>
        </is>
      </c>
      <c r="F15" s="29" t="inlineStr">
        <is>
          <t>Baja</t>
        </is>
      </c>
      <c r="G15" s="27" t="n">
        <v>2</v>
      </c>
      <c r="H15" s="27" t="n">
        <v>3</v>
      </c>
      <c r="I15" s="27">
        <f>G15*10-H15</f>
        <v/>
      </c>
      <c r="J15" s="27">
        <f>RANK(I15,$I$5:$I$16)</f>
        <v/>
      </c>
      <c r="K15" s="25" t="inlineStr">
        <is>
          <t>Aceptar; reevaluar si se añaden canales con frecuencia.</t>
        </is>
      </c>
      <c r="L15" s="25" t="inlineStr">
        <is>
          <t>Aceptado</t>
        </is>
      </c>
    </row>
    <row r="16" ht="78" customHeight="1" s="20">
      <c r="A16" s="24" t="inlineStr">
        <is>
          <t>H-12</t>
        </is>
      </c>
      <c r="B16" s="25" t="inlineStr">
        <is>
          <t>services.notification_service · api.routers.subscriptions</t>
        </is>
      </c>
      <c r="C16" s="25" t="inlineStr">
        <is>
          <t>Los límites de transacción son inconsistentes: create_for_events, send_pending, mark_read y mark_all_read confirman dentro del servicio, pero notify_open_alerts_of no lo hace y confirma el router que lo llama.</t>
        </is>
      </c>
      <c r="D16" s="25" t="inlineStr">
        <is>
          <t>Consistencia · mantenibilidad</t>
        </is>
      </c>
      <c r="E16" s="25" t="inlineStr">
        <is>
          <t>notification_service.py:92, 96-131, 178, 188, 197; routers/subscriptions.py:50-51.</t>
        </is>
      </c>
      <c r="F16" s="29" t="inlineStr">
        <is>
          <t>Baja</t>
        </is>
      </c>
      <c r="G16" s="27" t="n">
        <v>2</v>
      </c>
      <c r="H16" s="27" t="n">
        <v>2</v>
      </c>
      <c r="I16" s="27">
        <f>G16*10-H16</f>
        <v/>
      </c>
      <c r="J16" s="27">
        <f>RANK(I16,$I$5:$I$16)</f>
        <v/>
      </c>
      <c r="K16" s="25" t="inlineStr">
        <is>
          <t>Fijar la transacción en un solo nivel (router o caso de uso). El parche lo documenta en notify_open_alerts_of, pero no lo corrige.</t>
        </is>
      </c>
      <c r="L16" s="25" t="inlineStr">
        <is>
          <t>Pendiente</t>
        </is>
      </c>
    </row>
    <row r="17" s="20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</row>
    <row r="18" ht="30" customHeight="1" s="20">
      <c r="A18" s="31" t="inlineStr">
        <is>
          <t>Regla de priorización: Puntaje = Impacto × 10 − Esfuerzo. Ordena primero por impacto y, a igual impacto, por menor esfuerzo. La prioridad es la posición en ese orden (los empates comparten posición). Los cinco primeros son los hallazgos priorizados.</t>
        </is>
      </c>
    </row>
    <row r="19" ht="30" customHeight="1" s="20">
      <c r="A19" s="31" t="inlineStr">
        <is>
          <t>Impacto: 1 = cosmético … 5 = bloquea cambios previsibles o impide probar. Esfuerzo: 1 = menos de una hora … 5 = varios días. Severidad: Alta = impacto 4-5; Media = 3; Baja = 1-2.</t>
        </is>
      </c>
    </row>
    <row r="20" ht="30" customHeight="1" s="20">
      <c r="A20" s="31" t="inlineStr">
        <is>
          <t>«Resuelto en el parche»: corregido en refactorizacion_avisos.patch, validado en el entorno del proyecto (472 pruebas pasan) y pendiente de aplicar en una rama, según el ADR-001 aceptado. Las evidencias E-xx están numeradas en el informe; las salidas en bruto, en evidencias/.</t>
        </is>
      </c>
    </row>
  </sheetData>
  <mergeCells count="3">
    <mergeCell ref="A20:L20"/>
    <mergeCell ref="A19:L19"/>
    <mergeCell ref="A18:L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9" min="1" max="1"/>
    <col width="34" customWidth="1" style="19" min="2" max="2"/>
    <col width="15" customWidth="1" style="19" min="3" max="3"/>
    <col width="13" customWidth="1" style="19" min="4" max="11"/>
    <col width="7" customWidth="1" style="19" min="12" max="12"/>
    <col width="8" customWidth="1" style="19" min="13" max="13"/>
    <col width="60" customWidth="1" style="19" min="14" max="14"/>
  </cols>
  <sheetData>
    <row r="1" ht="17.35" customHeight="1" s="20">
      <c r="A1" s="21" t="inlineStr">
        <is>
          <t>Lista de revisión de diseño</t>
        </is>
      </c>
    </row>
    <row r="2" ht="15" customHeight="1" s="20">
      <c r="A2" s="22" t="inlineStr">
        <is>
          <t>OLA · módulo «Alertas y avisos» · commit d5c054f (13/09/2026) · revisión del 05/10/2026 · mediciones del 06/10/2026 · Sí = cumple · Parcial · No = no cumple · N/A</t>
        </is>
      </c>
    </row>
    <row r="4" ht="30" customHeight="1" s="20">
      <c r="A4" s="23" t="inlineStr">
        <is>
          <t>ID</t>
        </is>
      </c>
      <c r="B4" s="23" t="inlineStr">
        <is>
          <t>Unidad (clase o módulo)</t>
        </is>
      </c>
      <c r="C4" s="23" t="inlineStr">
        <is>
          <t>Capa</t>
        </is>
      </c>
      <c r="D4" s="23" t="inlineStr">
        <is>
          <t>C1 Responsabilidad única</t>
        </is>
      </c>
      <c r="E4" s="23" t="inlineStr">
        <is>
          <t>C2 Cohesión interna</t>
        </is>
      </c>
      <c r="F4" s="23" t="inlineStr">
        <is>
          <t>C3 Depende de abstracciones</t>
        </is>
      </c>
      <c r="G4" s="23" t="inlineStr">
        <is>
          <t>C4 Abierto a extensión</t>
        </is>
      </c>
      <c r="H4" s="23" t="inlineStr">
        <is>
          <t>C5 Respeta las capas</t>
        </is>
      </c>
      <c r="I4" s="23" t="inlineStr">
        <is>
          <t>C6 Sin duplicación</t>
        </is>
      </c>
      <c r="J4" s="23" t="inlineStr">
        <is>
          <t>C7 Complejidad ≤ 10</t>
        </is>
      </c>
      <c r="K4" s="23" t="inlineStr">
        <is>
          <t>C8 Comprobable sin infraestructura</t>
        </is>
      </c>
      <c r="L4" s="23" t="inlineStr">
        <is>
          <t>No</t>
        </is>
      </c>
      <c r="M4" s="23" t="inlineStr">
        <is>
          <t>Parcial</t>
        </is>
      </c>
      <c r="N4" s="23" t="inlineStr">
        <is>
          <t>Observación</t>
        </is>
      </c>
    </row>
    <row r="5" ht="31.5" customHeight="1" s="20">
      <c r="A5" s="32" t="inlineStr">
        <is>
          <t>U01</t>
        </is>
      </c>
      <c r="B5" s="33" t="inlineStr">
        <is>
          <t>services.notification_service</t>
        </is>
      </c>
      <c r="C5" s="33" t="inlineStr">
        <is>
          <t>Servicios</t>
        </is>
      </c>
      <c r="D5" s="34" t="inlineStr">
        <is>
          <t>No</t>
        </is>
      </c>
      <c r="E5" s="35" t="inlineStr">
        <is>
          <t>Parcial</t>
        </is>
      </c>
      <c r="F5" s="35" t="inlineStr">
        <is>
          <t>Parcial</t>
        </is>
      </c>
      <c r="G5" s="34" t="inlineStr">
        <is>
          <t>No</t>
        </is>
      </c>
      <c r="H5" s="34" t="inlineStr">
        <is>
          <t>No</t>
        </is>
      </c>
      <c r="I5" s="34" t="inlineStr">
        <is>
          <t>No</t>
        </is>
      </c>
      <c r="J5" s="36" t="inlineStr">
        <is>
          <t>Sí</t>
        </is>
      </c>
      <c r="K5" s="34" t="inlineStr">
        <is>
          <t>No</t>
        </is>
      </c>
      <c r="L5" s="37">
        <f>COUNTIF(D5:K5,"No")</f>
        <v/>
      </c>
      <c r="M5" s="37">
        <f>COUNTIF(D5:K5,"Parcial")</f>
        <v/>
      </c>
      <c r="N5" s="33" t="inlineStr">
        <is>
          <t>H-01, H-02, H-03, H-04, H-05, H-12. Mayor CCsum del módulo (20).</t>
        </is>
      </c>
    </row>
    <row r="6" ht="31.5" customHeight="1" s="20">
      <c r="A6" s="32" t="inlineStr">
        <is>
          <t>U02</t>
        </is>
      </c>
      <c r="B6" s="33" t="inlineStr">
        <is>
          <t>services.alert_service</t>
        </is>
      </c>
      <c r="C6" s="33" t="inlineStr">
        <is>
          <t>Servicios</t>
        </is>
      </c>
      <c r="D6" s="35" t="inlineStr">
        <is>
          <t>Parcial</t>
        </is>
      </c>
      <c r="E6" s="36" t="inlineStr">
        <is>
          <t>Sí</t>
        </is>
      </c>
      <c r="F6" s="34" t="inlineStr">
        <is>
          <t>No</t>
        </is>
      </c>
      <c r="G6" s="35" t="inlineStr">
        <is>
          <t>Parcial</t>
        </is>
      </c>
      <c r="H6" s="34" t="inlineStr">
        <is>
          <t>No</t>
        </is>
      </c>
      <c r="I6" s="36" t="inlineStr">
        <is>
          <t>Sí</t>
        </is>
      </c>
      <c r="J6" s="36" t="inlineStr">
        <is>
          <t>Sí</t>
        </is>
      </c>
      <c r="K6" s="34" t="inlineStr">
        <is>
          <t>No</t>
        </is>
      </c>
      <c r="L6" s="37">
        <f>COUNTIF(D6:K6,"No")</f>
        <v/>
      </c>
      <c r="M6" s="37">
        <f>COUNTIF(D6:K6,"Parcial")</f>
        <v/>
      </c>
      <c r="N6" s="33" t="inlineStr">
        <is>
          <t>H-06. Detecta, persiste y calcula qué episodios se abrieron o cerraron.</t>
        </is>
      </c>
    </row>
    <row r="7" ht="31.5" customHeight="1" s="20">
      <c r="A7" s="32" t="inlineStr">
        <is>
          <t>U03</t>
        </is>
      </c>
      <c r="B7" s="33" t="inlineStr">
        <is>
          <t>repositories.notifications_repo</t>
        </is>
      </c>
      <c r="C7" s="33" t="inlineStr">
        <is>
          <t>Repositorios</t>
        </is>
      </c>
      <c r="D7" s="36" t="inlineStr">
        <is>
          <t>Sí</t>
        </is>
      </c>
      <c r="E7" s="36" t="inlineStr">
        <is>
          <t>Sí</t>
        </is>
      </c>
      <c r="F7" s="36" t="inlineStr">
        <is>
          <t>Sí</t>
        </is>
      </c>
      <c r="G7" s="34" t="inlineStr">
        <is>
          <t>No</t>
        </is>
      </c>
      <c r="H7" s="36" t="inlineStr">
        <is>
          <t>Sí</t>
        </is>
      </c>
      <c r="I7" s="35" t="inlineStr">
        <is>
          <t>Parcial</t>
        </is>
      </c>
      <c r="J7" s="36" t="inlineStr">
        <is>
          <t>Sí</t>
        </is>
      </c>
      <c r="K7" s="35" t="inlineStr">
        <is>
          <t>Parcial</t>
        </is>
      </c>
      <c r="L7" s="37">
        <f>COUNTIF(D7:K7,"No")</f>
        <v/>
      </c>
      <c r="M7" s="37">
        <f>COUNTIF(D7:K7,"Parcial")</f>
        <v/>
      </c>
      <c r="N7" s="33" t="inlineStr">
        <is>
          <t>H-02: pending_emails y count_by_status solo conocen EMAIL. El filtro IN_APP se repite.</t>
        </is>
      </c>
    </row>
    <row r="8" ht="31.5" customHeight="1" s="20">
      <c r="A8" s="32" t="inlineStr">
        <is>
          <t>U04</t>
        </is>
      </c>
      <c r="B8" s="33" t="inlineStr">
        <is>
          <t>repositories.alerts_repo</t>
        </is>
      </c>
      <c r="C8" s="33" t="inlineStr">
        <is>
          <t>Repositorios</t>
        </is>
      </c>
      <c r="D8" s="36" t="inlineStr">
        <is>
          <t>Sí</t>
        </is>
      </c>
      <c r="E8" s="36" t="inlineStr">
        <is>
          <t>Sí</t>
        </is>
      </c>
      <c r="F8" s="36" t="inlineStr">
        <is>
          <t>Sí</t>
        </is>
      </c>
      <c r="G8" s="36" t="inlineStr">
        <is>
          <t>Sí</t>
        </is>
      </c>
      <c r="H8" s="36" t="inlineStr">
        <is>
          <t>Sí</t>
        </is>
      </c>
      <c r="I8" s="36" t="inlineStr">
        <is>
          <t>Sí</t>
        </is>
      </c>
      <c r="J8" s="36" t="inlineStr">
        <is>
          <t>Sí</t>
        </is>
      </c>
      <c r="K8" s="35" t="inlineStr">
        <is>
          <t>Parcial</t>
        </is>
      </c>
      <c r="L8" s="37">
        <f>COUNTIF(D8:K8,"No")</f>
        <v/>
      </c>
      <c r="M8" s="37">
        <f>COUNTIF(D8:K8,"Parcial")</f>
        <v/>
      </c>
      <c r="N8" s="33" t="inlineStr">
        <is>
          <t>Requiere PostgreSQL para probarse, lo esperable en un repositorio.</t>
        </is>
      </c>
    </row>
    <row r="9" ht="31.5" customHeight="1" s="20">
      <c r="A9" s="32" t="inlineStr">
        <is>
          <t>U05</t>
        </is>
      </c>
      <c r="B9" s="33" t="inlineStr">
        <is>
          <t>repositories.subscriptions_repo</t>
        </is>
      </c>
      <c r="C9" s="33" t="inlineStr">
        <is>
          <t>Repositorios</t>
        </is>
      </c>
      <c r="D9" s="36" t="inlineStr">
        <is>
          <t>Sí</t>
        </is>
      </c>
      <c r="E9" s="36" t="inlineStr">
        <is>
          <t>Sí</t>
        </is>
      </c>
      <c r="F9" s="36" t="inlineStr">
        <is>
          <t>Sí</t>
        </is>
      </c>
      <c r="G9" s="36" t="inlineStr">
        <is>
          <t>Sí</t>
        </is>
      </c>
      <c r="H9" s="36" t="inlineStr">
        <is>
          <t>Sí</t>
        </is>
      </c>
      <c r="I9" s="36" t="inlineStr">
        <is>
          <t>Sí</t>
        </is>
      </c>
      <c r="J9" s="36" t="inlineStr">
        <is>
          <t>Sí</t>
        </is>
      </c>
      <c r="K9" s="35" t="inlineStr">
        <is>
          <t>Parcial</t>
        </is>
      </c>
      <c r="L9" s="37">
        <f>COUNTIF(D9:K9,"No")</f>
        <v/>
      </c>
      <c r="M9" s="37">
        <f>COUNTIF(D9:K9,"Parcial")</f>
        <v/>
      </c>
      <c r="N9" s="33" t="inlineStr">
        <is>
          <t>Sin hallazgos.</t>
        </is>
      </c>
    </row>
    <row r="10" ht="31.5" customHeight="1" s="20">
      <c r="A10" s="32" t="inlineStr">
        <is>
          <t>U06</t>
        </is>
      </c>
      <c r="B10" s="33" t="inlineStr">
        <is>
          <t>mail.SmtpMailer</t>
        </is>
      </c>
      <c r="C10" s="33" t="inlineStr">
        <is>
          <t>Infraestructura</t>
        </is>
      </c>
      <c r="D10" s="36" t="inlineStr">
        <is>
          <t>Sí</t>
        </is>
      </c>
      <c r="E10" s="36" t="inlineStr">
        <is>
          <t>Sí</t>
        </is>
      </c>
      <c r="F10" s="35" t="inlineStr">
        <is>
          <t>Parcial</t>
        </is>
      </c>
      <c r="G10" s="36" t="inlineStr">
        <is>
          <t>Sí</t>
        </is>
      </c>
      <c r="H10" s="36" t="inlineStr">
        <is>
          <t>Sí</t>
        </is>
      </c>
      <c r="I10" s="36" t="inlineStr">
        <is>
          <t>Sí</t>
        </is>
      </c>
      <c r="J10" s="36" t="inlineStr">
        <is>
          <t>Sí</t>
        </is>
      </c>
      <c r="K10" s="35" t="inlineStr">
        <is>
          <t>Parcial</t>
        </is>
      </c>
      <c r="L10" s="37">
        <f>COUNTIF(D10:K10,"No")</f>
        <v/>
      </c>
      <c r="M10" s="37">
        <f>COUNTIF(D10:K10,"Parcial")</f>
        <v/>
      </c>
      <c r="N10" s="33" t="inlineStr">
        <is>
          <t>H-07: recibe Settings completo y usa 6 de sus 21 campos.</t>
        </is>
      </c>
    </row>
    <row r="11" ht="31.5" customHeight="1" s="20">
      <c r="A11" s="32" t="inlineStr">
        <is>
          <t>U07</t>
        </is>
      </c>
      <c r="B11" s="33" t="inlineStr">
        <is>
          <t>mail.RecordingMailer</t>
        </is>
      </c>
      <c r="C11" s="33" t="inlineStr">
        <is>
          <t>Infraestructura</t>
        </is>
      </c>
      <c r="D11" s="36" t="inlineStr">
        <is>
          <t>Sí</t>
        </is>
      </c>
      <c r="E11" s="36" t="inlineStr">
        <is>
          <t>Sí</t>
        </is>
      </c>
      <c r="F11" s="36" t="inlineStr">
        <is>
          <t>Sí</t>
        </is>
      </c>
      <c r="G11" s="36" t="inlineStr">
        <is>
          <t>Sí</t>
        </is>
      </c>
      <c r="H11" s="35" t="inlineStr">
        <is>
          <t>Parcial</t>
        </is>
      </c>
      <c r="I11" s="36" t="inlineStr">
        <is>
          <t>Sí</t>
        </is>
      </c>
      <c r="J11" s="36" t="inlineStr">
        <is>
          <t>Sí</t>
        </is>
      </c>
      <c r="K11" s="36" t="inlineStr">
        <is>
          <t>Sí</t>
        </is>
      </c>
      <c r="L11" s="37">
        <f>COUNTIF(D11:K11,"No")</f>
        <v/>
      </c>
      <c r="M11" s="37">
        <f>COUNTIF(D11:K11,"Parcial")</f>
        <v/>
      </c>
      <c r="N11" s="33" t="inlineStr">
        <is>
          <t>H-08: doble de prueba en un módulo de producción.</t>
        </is>
      </c>
    </row>
    <row r="12" ht="31.5" customHeight="1" s="20">
      <c r="A12" s="32" t="inlineStr">
        <is>
          <t>U08</t>
        </is>
      </c>
      <c r="B12" s="33" t="inlineStr">
        <is>
          <t>mail.Mailer (protocol) · Email</t>
        </is>
      </c>
      <c r="C12" s="33" t="inlineStr">
        <is>
          <t>Infraestructura</t>
        </is>
      </c>
      <c r="D12" s="36" t="inlineStr">
        <is>
          <t>Sí</t>
        </is>
      </c>
      <c r="E12" s="36" t="inlineStr">
        <is>
          <t>Sí</t>
        </is>
      </c>
      <c r="F12" s="36" t="inlineStr">
        <is>
          <t>Sí</t>
        </is>
      </c>
      <c r="G12" s="36" t="inlineStr">
        <is>
          <t>Sí</t>
        </is>
      </c>
      <c r="H12" s="36" t="inlineStr">
        <is>
          <t>Sí</t>
        </is>
      </c>
      <c r="I12" s="36" t="inlineStr">
        <is>
          <t>Sí</t>
        </is>
      </c>
      <c r="J12" s="36" t="inlineStr">
        <is>
          <t>Sí</t>
        </is>
      </c>
      <c r="K12" s="36" t="inlineStr">
        <is>
          <t>Sí</t>
        </is>
      </c>
      <c r="L12" s="37">
        <f>COUNTIF(D12:K12,"No")</f>
        <v/>
      </c>
      <c r="M12" s="37">
        <f>COUNTIF(D12:K12,"Parcial")</f>
        <v/>
      </c>
      <c r="N12" s="33" t="inlineStr">
        <is>
          <t>Abstracción correcta: permite sustituir el envío en las pruebas.</t>
        </is>
      </c>
    </row>
    <row r="13" ht="31.5" customHeight="1" s="20">
      <c r="A13" s="32" t="inlineStr">
        <is>
          <t>U09</t>
        </is>
      </c>
      <c r="B13" s="33" t="inlineStr">
        <is>
          <t>domain.messages · AlertMessage</t>
        </is>
      </c>
      <c r="C13" s="33" t="inlineStr">
        <is>
          <t>Dominio</t>
        </is>
      </c>
      <c r="D13" s="36" t="inlineStr">
        <is>
          <t>Sí</t>
        </is>
      </c>
      <c r="E13" s="36" t="inlineStr">
        <is>
          <t>Sí</t>
        </is>
      </c>
      <c r="F13" s="36" t="inlineStr">
        <is>
          <t>Sí</t>
        </is>
      </c>
      <c r="G13" s="35" t="inlineStr">
        <is>
          <t>Parcial</t>
        </is>
      </c>
      <c r="H13" s="36" t="inlineStr">
        <is>
          <t>Sí</t>
        </is>
      </c>
      <c r="I13" s="35" t="inlineStr">
        <is>
          <t>Parcial</t>
        </is>
      </c>
      <c r="J13" s="36" t="inlineStr">
        <is>
          <t>Sí</t>
        </is>
      </c>
      <c r="K13" s="36" t="inlineStr">
        <is>
          <t>Sí</t>
        </is>
      </c>
      <c r="L13" s="37">
        <f>COUNTIF(D13:K13,"No")</f>
        <v/>
      </c>
      <c r="M13" s="37">
        <f>COUNTIF(D13:K13,"Parcial")</f>
        <v/>
      </c>
      <c r="N13" s="33" t="inlineStr">
        <is>
          <t>H-09: estado como str y dos diccionarios paralelos.</t>
        </is>
      </c>
    </row>
    <row r="14" ht="31.5" customHeight="1" s="20">
      <c r="A14" s="32" t="inlineStr">
        <is>
          <t>U10</t>
        </is>
      </c>
      <c r="B14" s="33" t="inlineStr">
        <is>
          <t>domain.streaks · _Run · Streak (domain.types)</t>
        </is>
      </c>
      <c r="C14" s="33" t="inlineStr">
        <is>
          <t>Dominio</t>
        </is>
      </c>
      <c r="D14" s="36" t="inlineStr">
        <is>
          <t>Sí</t>
        </is>
      </c>
      <c r="E14" s="36" t="inlineStr">
        <is>
          <t>Sí</t>
        </is>
      </c>
      <c r="F14" s="36" t="inlineStr">
        <is>
          <t>Sí</t>
        </is>
      </c>
      <c r="G14" s="36" t="inlineStr">
        <is>
          <t>Sí</t>
        </is>
      </c>
      <c r="H14" s="36" t="inlineStr">
        <is>
          <t>Sí</t>
        </is>
      </c>
      <c r="I14" s="36" t="inlineStr">
        <is>
          <t>Sí</t>
        </is>
      </c>
      <c r="J14" s="36" t="inlineStr">
        <is>
          <t>Sí</t>
        </is>
      </c>
      <c r="K14" s="36" t="inlineStr">
        <is>
          <t>Sí</t>
        </is>
      </c>
      <c r="L14" s="37">
        <f>COUNTIF(D14:K14,"No")</f>
        <v/>
      </c>
      <c r="M14" s="37">
        <f>COUNTIF(D14:K14,"Parcial")</f>
        <v/>
      </c>
      <c r="N14" s="33" t="inlineStr">
        <is>
          <t>_runs tiene CC = 8, la más alta del módulo, dentro del umbral.</t>
        </is>
      </c>
    </row>
    <row r="15" ht="31.5" customHeight="1" s="20">
      <c r="A15" s="32" t="inlineStr">
        <is>
          <t>U11</t>
        </is>
      </c>
      <c r="B15" s="33" t="inlineStr">
        <is>
          <t>db.models.Notification</t>
        </is>
      </c>
      <c r="C15" s="33" t="inlineStr">
        <is>
          <t>Persistencia</t>
        </is>
      </c>
      <c r="D15" s="36" t="inlineStr">
        <is>
          <t>Sí</t>
        </is>
      </c>
      <c r="E15" s="36" t="inlineStr">
        <is>
          <t>Sí</t>
        </is>
      </c>
      <c r="F15" s="38" t="inlineStr">
        <is>
          <t>N/A</t>
        </is>
      </c>
      <c r="G15" s="35" t="inlineStr">
        <is>
          <t>Parcial</t>
        </is>
      </c>
      <c r="H15" s="35" t="inlineStr">
        <is>
          <t>Parcial</t>
        </is>
      </c>
      <c r="I15" s="36" t="inlineStr">
        <is>
          <t>Sí</t>
        </is>
      </c>
      <c r="J15" s="36" t="inlineStr">
        <is>
          <t>Sí</t>
        </is>
      </c>
      <c r="K15" s="38" t="inlineStr">
        <is>
          <t>N/A</t>
        </is>
      </c>
      <c r="L15" s="37">
        <f>COUNTIF(D15:K15,"No")</f>
        <v/>
      </c>
      <c r="M15" s="37">
        <f>COUNTIF(D15:K15,"Parcial")</f>
        <v/>
      </c>
      <c r="N15" s="33" t="inlineStr">
        <is>
          <t>H-11. Los enumerados del dominio están definidos en la capa de persistencia.</t>
        </is>
      </c>
    </row>
    <row r="16" ht="31.5" customHeight="1" s="20">
      <c r="A16" s="32" t="inlineStr">
        <is>
          <t>U12</t>
        </is>
      </c>
      <c r="B16" s="33" t="inlineStr">
        <is>
          <t>clock.Clock · SystemClock · FixedClock</t>
        </is>
      </c>
      <c r="C16" s="33" t="inlineStr">
        <is>
          <t>Dominio</t>
        </is>
      </c>
      <c r="D16" s="36" t="inlineStr">
        <is>
          <t>Sí</t>
        </is>
      </c>
      <c r="E16" s="36" t="inlineStr">
        <is>
          <t>Sí</t>
        </is>
      </c>
      <c r="F16" s="36" t="inlineStr">
        <is>
          <t>Sí</t>
        </is>
      </c>
      <c r="G16" s="36" t="inlineStr">
        <is>
          <t>Sí</t>
        </is>
      </c>
      <c r="H16" s="36" t="inlineStr">
        <is>
          <t>Sí</t>
        </is>
      </c>
      <c r="I16" s="36" t="inlineStr">
        <is>
          <t>Sí</t>
        </is>
      </c>
      <c r="J16" s="36" t="inlineStr">
        <is>
          <t>Sí</t>
        </is>
      </c>
      <c r="K16" s="36" t="inlineStr">
        <is>
          <t>Sí</t>
        </is>
      </c>
      <c r="L16" s="37">
        <f>COUNTIF(D16:K16,"No")</f>
        <v/>
      </c>
      <c r="M16" s="37">
        <f>COUNTIF(D16:K16,"Parcial")</f>
        <v/>
      </c>
      <c r="N16" s="33" t="inlineStr">
        <is>
          <t>H-04: bien diseñada, pero sin uso en producción (Ca = 0).</t>
        </is>
      </c>
    </row>
    <row r="17" ht="31.5" customHeight="1" s="20">
      <c r="A17" s="32" t="inlineStr">
        <is>
          <t>U13</t>
        </is>
      </c>
      <c r="B17" s="33" t="inlineStr">
        <is>
          <t>api.routers.alerts</t>
        </is>
      </c>
      <c r="C17" s="33" t="inlineStr">
        <is>
          <t>API</t>
        </is>
      </c>
      <c r="D17" s="35" t="inlineStr">
        <is>
          <t>Parcial</t>
        </is>
      </c>
      <c r="E17" s="35" t="inlineStr">
        <is>
          <t>Parcial</t>
        </is>
      </c>
      <c r="F17" s="36" t="inlineStr">
        <is>
          <t>Sí</t>
        </is>
      </c>
      <c r="G17" s="36" t="inlineStr">
        <is>
          <t>Sí</t>
        </is>
      </c>
      <c r="H17" s="35" t="inlineStr">
        <is>
          <t>Parcial</t>
        </is>
      </c>
      <c r="I17" s="35" t="inlineStr">
        <is>
          <t>Parcial</t>
        </is>
      </c>
      <c r="J17" s="36" t="inlineStr">
        <is>
          <t>Sí</t>
        </is>
      </c>
      <c r="K17" s="35" t="inlineStr">
        <is>
          <t>Parcial</t>
        </is>
      </c>
      <c r="L17" s="37">
        <f>COUNTIF(D17:K17,"No")</f>
        <v/>
      </c>
      <c r="M17" s="37">
        <f>COUNTIF(D17:K17,"Parcial")</f>
        <v/>
      </c>
      <c r="N17" s="33" t="inlineStr">
        <is>
          <t>H-10: coordina dos servicios y accede a 4 repositorios. Ce = 10.</t>
        </is>
      </c>
    </row>
    <row r="18" ht="31.5" customHeight="1" s="20">
      <c r="A18" s="32" t="inlineStr">
        <is>
          <t>U14</t>
        </is>
      </c>
      <c r="B18" s="33" t="inlineStr">
        <is>
          <t>api.routers.subscriptions</t>
        </is>
      </c>
      <c r="C18" s="33" t="inlineStr">
        <is>
          <t>API</t>
        </is>
      </c>
      <c r="D18" s="35" t="inlineStr">
        <is>
          <t>Parcial</t>
        </is>
      </c>
      <c r="E18" s="36" t="inlineStr">
        <is>
          <t>Sí</t>
        </is>
      </c>
      <c r="F18" s="36" t="inlineStr">
        <is>
          <t>Sí</t>
        </is>
      </c>
      <c r="G18" s="36" t="inlineStr">
        <is>
          <t>Sí</t>
        </is>
      </c>
      <c r="H18" s="35" t="inlineStr">
        <is>
          <t>Parcial</t>
        </is>
      </c>
      <c r="I18" s="35" t="inlineStr">
        <is>
          <t>Parcial</t>
        </is>
      </c>
      <c r="J18" s="36" t="inlineStr">
        <is>
          <t>Sí</t>
        </is>
      </c>
      <c r="K18" s="35" t="inlineStr">
        <is>
          <t>Parcial</t>
        </is>
      </c>
      <c r="L18" s="37">
        <f>COUNTIF(D18:K18,"No")</f>
        <v/>
      </c>
      <c r="M18" s="37">
        <f>COUNTIF(D18:K18,"Parcial")</f>
        <v/>
      </c>
      <c r="N18" s="33" t="inlineStr">
        <is>
          <t>H-10, H-12: mezcla suscripciones y avisos; confirma la transacción en el router.</t>
        </is>
      </c>
    </row>
    <row r="19" ht="15" customHeight="1" s="20">
      <c r="A19" s="33" t="n"/>
      <c r="B19" s="39" t="inlineStr">
        <is>
          <t>Incumplimientos por criterio (No)</t>
        </is>
      </c>
      <c r="C19" s="33" t="n"/>
      <c r="D19" s="32">
        <f>COUNTIF(D5:D18,"No")</f>
        <v/>
      </c>
      <c r="E19" s="32">
        <f>COUNTIF(E5:E18,"No")</f>
        <v/>
      </c>
      <c r="F19" s="32">
        <f>COUNTIF(F5:F18,"No")</f>
        <v/>
      </c>
      <c r="G19" s="32">
        <f>COUNTIF(G5:G18,"No")</f>
        <v/>
      </c>
      <c r="H19" s="32">
        <f>COUNTIF(H5:H18,"No")</f>
        <v/>
      </c>
      <c r="I19" s="32">
        <f>COUNTIF(I5:I18,"No")</f>
        <v/>
      </c>
      <c r="J19" s="32">
        <f>COUNTIF(J5:J18,"No")</f>
        <v/>
      </c>
      <c r="K19" s="32">
        <f>COUNTIF(K5:K18,"No")</f>
        <v/>
      </c>
      <c r="L19" s="32">
        <f>SUM(L5:L18)</f>
        <v/>
      </c>
      <c r="M19" s="32">
        <f>SUM(M5:M18)</f>
        <v/>
      </c>
      <c r="N19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19" min="1" max="1"/>
    <col width="9" customWidth="1" style="19" min="2" max="2"/>
    <col width="10" customWidth="1" style="19" min="3" max="3"/>
    <col width="9" customWidth="1" style="19" min="4" max="4"/>
    <col width="10" customWidth="1" style="19" min="5" max="5"/>
    <col width="8" customWidth="1" style="19" min="6" max="6"/>
    <col width="9" customWidth="1" style="19" min="7" max="7"/>
    <col width="8" customWidth="1" style="19" min="8" max="8"/>
    <col width="9" customWidth="1" style="19" min="9" max="10"/>
    <col width="8" customWidth="1" style="20" min="10" max="10"/>
    <col width="9" customWidth="1" style="19" min="11" max="11"/>
    <col width="9" customWidth="1" style="19" min="12" max="12"/>
    <col width="10" customWidth="1" style="19" min="13" max="13"/>
    <col width="9" customWidth="1" style="19" min="14" max="14"/>
    <col width="10" customWidth="1" style="19" min="15" max="15"/>
    <col width="8" customWidth="1" style="19" min="16" max="16"/>
    <col width="9" customWidth="1" style="20" min="17" max="17"/>
    <col width="11" customWidth="1" style="20" min="18" max="18"/>
  </cols>
  <sheetData>
    <row r="1" ht="17.35" customHeight="1" s="20">
      <c r="A1" s="21" t="inlineStr">
        <is>
          <t>Métricas de diseño por módulo, antes y después</t>
        </is>
      </c>
    </row>
    <row r="2" s="20">
      <c r="A2" s="40" t="inlineStr">
        <is>
          <t>Medido con el guion propio evidencias/metricas.py (biblioteca estándar de Python 3.13.15). Complejidad con el algoritmo de la regla C901 de ruff, contrastado con ruff 0.16.6. LOC sin líneas en blanco, comentarios ni docstrings.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</row>
    <row r="3" s="20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</row>
    <row r="4" ht="30" customHeight="1" s="20">
      <c r="A4" s="41" t="inlineStr">
        <is>
          <t>Módulo</t>
        </is>
      </c>
      <c r="B4" s="41" t="inlineStr">
        <is>
          <t>LOC antes</t>
        </is>
      </c>
      <c r="C4" s="41" t="inlineStr">
        <is>
          <t>LOC después</t>
        </is>
      </c>
      <c r="D4" s="41" t="inlineStr">
        <is>
          <t>NOM antes</t>
        </is>
      </c>
      <c r="E4" s="41" t="inlineStr">
        <is>
          <t>NOM después</t>
        </is>
      </c>
      <c r="F4" s="41" t="inlineStr">
        <is>
          <t>Ce antes</t>
        </is>
      </c>
      <c r="G4" s="41" t="inlineStr">
        <is>
          <t>Ce después</t>
        </is>
      </c>
      <c r="H4" s="41" t="inlineStr">
        <is>
          <t>Ca antes</t>
        </is>
      </c>
      <c r="I4" s="41" t="inlineStr">
        <is>
          <t>Ca después</t>
        </is>
      </c>
      <c r="J4" s="41" t="inlineStr">
        <is>
          <t>I antes</t>
        </is>
      </c>
      <c r="K4" s="41" t="inlineStr">
        <is>
          <t>I después</t>
        </is>
      </c>
      <c r="L4" s="41" t="inlineStr">
        <is>
          <t>CCmáx antes</t>
        </is>
      </c>
      <c r="M4" s="41" t="inlineStr">
        <is>
          <t>CCmáx después</t>
        </is>
      </c>
      <c r="N4" s="41" t="inlineStr">
        <is>
          <t>CCsum antes</t>
        </is>
      </c>
      <c r="O4" s="41" t="inlineStr">
        <is>
          <t>CCsum después</t>
        </is>
      </c>
      <c r="P4" s="41" t="inlineStr">
        <is>
          <t>Δ LOC</t>
        </is>
      </c>
      <c r="Q4" s="41" t="inlineStr">
        <is>
          <t>Δ CCsum</t>
        </is>
      </c>
      <c r="R4" s="41" t="inlineStr">
        <is>
          <t>Elemento</t>
        </is>
      </c>
    </row>
    <row r="5" s="20">
      <c r="A5" s="42" t="inlineStr">
        <is>
          <t>ola.services.notification_service</t>
        </is>
      </c>
      <c r="B5" s="27" t="n">
        <v>141</v>
      </c>
      <c r="C5" s="27" t="n">
        <v>73</v>
      </c>
      <c r="D5" s="27" t="n">
        <v>7</v>
      </c>
      <c r="E5" s="27" t="n">
        <v>6</v>
      </c>
      <c r="F5" s="27" t="n">
        <v>5</v>
      </c>
      <c r="G5" s="27" t="n">
        <v>8</v>
      </c>
      <c r="H5" s="27" t="n">
        <v>2</v>
      </c>
      <c r="I5" s="27" t="n">
        <v>2</v>
      </c>
      <c r="J5" s="43">
        <f>IF(B5="","",IF(F5+H5=0,0,F5/(F5+H5)))</f>
        <v/>
      </c>
      <c r="K5" s="43">
        <f>IF(G5+I5=0,0,G5/(G5+I5))</f>
        <v/>
      </c>
      <c r="L5" s="27" t="n">
        <v>5</v>
      </c>
      <c r="M5" s="27" t="n">
        <v>4</v>
      </c>
      <c r="N5" s="27" t="n">
        <v>20</v>
      </c>
      <c r="O5" s="27" t="n">
        <v>12</v>
      </c>
      <c r="P5" s="27">
        <f>IF(B5="",C5,C5-B5)</f>
        <v/>
      </c>
      <c r="Q5" s="27">
        <f>IF(N5="",O5,O5-N5)</f>
        <v/>
      </c>
      <c r="R5" s="27" t="inlineStr">
        <is>
          <t>Existente</t>
        </is>
      </c>
    </row>
    <row r="6" s="20">
      <c r="A6" s="42" t="inlineStr">
        <is>
          <t>ola.services.notification_dispatcher</t>
        </is>
      </c>
      <c r="B6" s="27" t="n"/>
      <c r="C6" s="27" t="n">
        <v>40</v>
      </c>
      <c r="D6" s="27" t="n"/>
      <c r="E6" s="27" t="n">
        <v>5</v>
      </c>
      <c r="F6" s="27" t="n"/>
      <c r="G6" s="27" t="n">
        <v>3</v>
      </c>
      <c r="H6" s="27" t="n"/>
      <c r="I6" s="27" t="n">
        <v>1</v>
      </c>
      <c r="J6" s="43">
        <f>IF(B6="","",IF(F6+H6=0,0,F6/(F6+H6)))</f>
        <v/>
      </c>
      <c r="K6" s="43">
        <f>IF(G6+I6=0,0,G6/(G6+I6))</f>
        <v/>
      </c>
      <c r="L6" s="27" t="n"/>
      <c r="M6" s="27" t="n">
        <v>4</v>
      </c>
      <c r="N6" s="27" t="n"/>
      <c r="O6" s="27" t="n">
        <v>8</v>
      </c>
      <c r="P6" s="27">
        <f>IF(B6="",C6,C6-B6)</f>
        <v/>
      </c>
      <c r="Q6" s="27">
        <f>IF(N6="",O6,O6-N6)</f>
        <v/>
      </c>
      <c r="R6" s="27" t="inlineStr">
        <is>
          <t>Nuevo</t>
        </is>
      </c>
    </row>
    <row r="7" s="20">
      <c r="A7" s="42" t="inlineStr">
        <is>
          <t>ola.services.channels</t>
        </is>
      </c>
      <c r="B7" s="27" t="n"/>
      <c r="C7" s="27" t="n">
        <v>55</v>
      </c>
      <c r="D7" s="27" t="n"/>
      <c r="E7" s="27" t="n">
        <v>13</v>
      </c>
      <c r="F7" s="27" t="n"/>
      <c r="G7" s="27" t="n">
        <v>2</v>
      </c>
      <c r="H7" s="27" t="n"/>
      <c r="I7" s="27" t="n">
        <v>3</v>
      </c>
      <c r="J7" s="43">
        <f>IF(B7="","",IF(F7+H7=0,0,F7/(F7+H7)))</f>
        <v/>
      </c>
      <c r="K7" s="43">
        <f>IF(G7+I7=0,0,G7/(G7+I7))</f>
        <v/>
      </c>
      <c r="L7" s="27" t="n"/>
      <c r="M7" s="27" t="n">
        <v>3</v>
      </c>
      <c r="N7" s="27" t="n"/>
      <c r="O7" s="27" t="n">
        <v>16</v>
      </c>
      <c r="P7" s="27">
        <f>IF(B7="",C7,C7-B7)</f>
        <v/>
      </c>
      <c r="Q7" s="27">
        <f>IF(N7="",O7,O7-N7)</f>
        <v/>
      </c>
      <c r="R7" s="27" t="inlineStr">
        <is>
          <t>Nuevo</t>
        </is>
      </c>
    </row>
    <row r="8" s="20">
      <c r="A8" s="42" t="inlineStr">
        <is>
          <t>ola.domain.notices</t>
        </is>
      </c>
      <c r="B8" s="27" t="n"/>
      <c r="C8" s="27" t="n">
        <v>72</v>
      </c>
      <c r="D8" s="27" t="n"/>
      <c r="E8" s="27" t="n">
        <v>4</v>
      </c>
      <c r="F8" s="27" t="n"/>
      <c r="G8" s="27" t="n">
        <v>1</v>
      </c>
      <c r="H8" s="27" t="n"/>
      <c r="I8" s="27" t="n">
        <v>5</v>
      </c>
      <c r="J8" s="43">
        <f>IF(B8="","",IF(F8+H8=0,0,F8/(F8+H8)))</f>
        <v/>
      </c>
      <c r="K8" s="43">
        <f>IF(G8+I8=0,0,G8/(G8+I8))</f>
        <v/>
      </c>
      <c r="L8" s="27" t="n"/>
      <c r="M8" s="27" t="n">
        <v>1</v>
      </c>
      <c r="N8" s="27" t="n"/>
      <c r="O8" s="27" t="n">
        <v>4</v>
      </c>
      <c r="P8" s="27">
        <f>IF(B8="",C8,C8-B8)</f>
        <v/>
      </c>
      <c r="Q8" s="27">
        <f>IF(N8="",O8,O8-N8)</f>
        <v/>
      </c>
      <c r="R8" s="27" t="inlineStr">
        <is>
          <t>Nuevo</t>
        </is>
      </c>
    </row>
    <row r="9" s="20">
      <c r="A9" s="42" t="inlineStr">
        <is>
          <t>ola.repositories.notifications_repo</t>
        </is>
      </c>
      <c r="B9" s="27" t="n">
        <v>65</v>
      </c>
      <c r="C9" s="27" t="n">
        <v>115</v>
      </c>
      <c r="D9" s="27" t="n">
        <v>5</v>
      </c>
      <c r="E9" s="27" t="n">
        <v>11</v>
      </c>
      <c r="F9" s="27" t="n">
        <v>1</v>
      </c>
      <c r="G9" s="27" t="n">
        <v>2</v>
      </c>
      <c r="H9" s="27" t="n">
        <v>3</v>
      </c>
      <c r="I9" s="27" t="n">
        <v>3</v>
      </c>
      <c r="J9" s="43">
        <f>IF(B9="","",IF(F9+H9=0,0,F9/(F9+H9)))</f>
        <v/>
      </c>
      <c r="K9" s="43">
        <f>IF(G9+I9=0,0,G9/(G9+I9))</f>
        <v/>
      </c>
      <c r="L9" s="27" t="n">
        <v>2</v>
      </c>
      <c r="M9" s="27" t="n">
        <v>2</v>
      </c>
      <c r="N9" s="27" t="n">
        <v>6</v>
      </c>
      <c r="O9" s="27" t="n">
        <v>14</v>
      </c>
      <c r="P9" s="27">
        <f>IF(B9="",C9,C9-B9)</f>
        <v/>
      </c>
      <c r="Q9" s="27">
        <f>IF(N9="",O9,O9-N9)</f>
        <v/>
      </c>
      <c r="R9" s="27" t="inlineStr">
        <is>
          <t>Existente</t>
        </is>
      </c>
    </row>
    <row r="10" s="20">
      <c r="A10" s="42" t="inlineStr">
        <is>
          <t>ola.repositories.alerts_repo</t>
        </is>
      </c>
      <c r="B10" s="27" t="n">
        <v>25</v>
      </c>
      <c r="C10" s="27" t="n">
        <v>41</v>
      </c>
      <c r="D10" s="27" t="n">
        <v>3</v>
      </c>
      <c r="E10" s="27" t="n">
        <v>5</v>
      </c>
      <c r="F10" s="27" t="n">
        <v>1</v>
      </c>
      <c r="G10" s="27" t="n">
        <v>1</v>
      </c>
      <c r="H10" s="27" t="n">
        <v>3</v>
      </c>
      <c r="I10" s="27" t="n">
        <v>4</v>
      </c>
      <c r="J10" s="43">
        <f>IF(B10="","",IF(F10+H10=0,0,F10/(F10+H10)))</f>
        <v/>
      </c>
      <c r="K10" s="43">
        <f>IF(G10+I10=0,0,G10/(G10+I10))</f>
        <v/>
      </c>
      <c r="L10" s="27" t="n">
        <v>3</v>
      </c>
      <c r="M10" s="27" t="n">
        <v>3</v>
      </c>
      <c r="N10" s="27" t="n">
        <v>5</v>
      </c>
      <c r="O10" s="27" t="n">
        <v>8</v>
      </c>
      <c r="P10" s="27">
        <f>IF(B10="",C10,C10-B10)</f>
        <v/>
      </c>
      <c r="Q10" s="27">
        <f>IF(N10="",O10,O10-N10)</f>
        <v/>
      </c>
      <c r="R10" s="27" t="inlineStr">
        <is>
          <t>Existente</t>
        </is>
      </c>
    </row>
    <row r="11" s="20">
      <c r="A11" s="42" t="inlineStr">
        <is>
          <t>ola.repositories.subscriptions_repo</t>
        </is>
      </c>
      <c r="B11" s="27" t="n">
        <v>39</v>
      </c>
      <c r="C11" s="27" t="n">
        <v>39</v>
      </c>
      <c r="D11" s="27" t="n">
        <v>5</v>
      </c>
      <c r="E11" s="27" t="n">
        <v>5</v>
      </c>
      <c r="F11" s="27" t="n">
        <v>1</v>
      </c>
      <c r="G11" s="27" t="n">
        <v>1</v>
      </c>
      <c r="H11" s="27" t="n">
        <v>2</v>
      </c>
      <c r="I11" s="27" t="n">
        <v>2</v>
      </c>
      <c r="J11" s="43">
        <f>IF(B11="","",IF(F11+H11=0,0,F11/(F11+H11)))</f>
        <v/>
      </c>
      <c r="K11" s="43">
        <f>IF(G11+I11=0,0,G11/(G11+I11))</f>
        <v/>
      </c>
      <c r="L11" s="27" t="n">
        <v>2</v>
      </c>
      <c r="M11" s="27" t="n">
        <v>2</v>
      </c>
      <c r="N11" s="27" t="n">
        <v>7</v>
      </c>
      <c r="O11" s="27" t="n">
        <v>7</v>
      </c>
      <c r="P11" s="27">
        <f>IF(B11="",C11,C11-B11)</f>
        <v/>
      </c>
      <c r="Q11" s="27">
        <f>IF(N11="",O11,O11-N11)</f>
        <v/>
      </c>
      <c r="R11" s="27" t="inlineStr">
        <is>
          <t>Existente</t>
        </is>
      </c>
    </row>
    <row r="12" s="20">
      <c r="A12" s="42" t="inlineStr">
        <is>
          <t>ola.services.alert_service</t>
        </is>
      </c>
      <c r="B12" s="27" t="n">
        <v>128</v>
      </c>
      <c r="C12" s="27" t="n">
        <v>128</v>
      </c>
      <c r="D12" s="27" t="n">
        <v>3</v>
      </c>
      <c r="E12" s="27" t="n">
        <v>3</v>
      </c>
      <c r="F12" s="27" t="n">
        <v>8</v>
      </c>
      <c r="G12" s="27" t="n">
        <v>8</v>
      </c>
      <c r="H12" s="27" t="n">
        <v>1</v>
      </c>
      <c r="I12" s="27" t="n">
        <v>1</v>
      </c>
      <c r="J12" s="43">
        <f>IF(B12="","",IF(F12+H12=0,0,F12/(F12+H12)))</f>
        <v/>
      </c>
      <c r="K12" s="43">
        <f>IF(G12+I12=0,0,G12/(G12+I12))</f>
        <v/>
      </c>
      <c r="L12" s="27" t="n">
        <v>4</v>
      </c>
      <c r="M12" s="27" t="n">
        <v>4</v>
      </c>
      <c r="N12" s="27" t="n">
        <v>9</v>
      </c>
      <c r="O12" s="27" t="n">
        <v>9</v>
      </c>
      <c r="P12" s="27">
        <f>IF(B12="",C12,C12-B12)</f>
        <v/>
      </c>
      <c r="Q12" s="27">
        <f>IF(N12="",O12,O12-N12)</f>
        <v/>
      </c>
      <c r="R12" s="27" t="inlineStr">
        <is>
          <t>Existente</t>
        </is>
      </c>
    </row>
    <row r="13" s="20">
      <c r="A13" s="42" t="inlineStr">
        <is>
          <t>ola.domain.messages</t>
        </is>
      </c>
      <c r="B13" s="27" t="n">
        <v>57</v>
      </c>
      <c r="C13" s="27" t="n">
        <v>57</v>
      </c>
      <c r="D13" s="27" t="n">
        <v>3</v>
      </c>
      <c r="E13" s="27" t="n">
        <v>3</v>
      </c>
      <c r="F13" s="27" t="n">
        <v>0</v>
      </c>
      <c r="G13" s="27" t="n">
        <v>0</v>
      </c>
      <c r="H13" s="27" t="n">
        <v>1</v>
      </c>
      <c r="I13" s="27" t="n">
        <v>1</v>
      </c>
      <c r="J13" s="43">
        <f>IF(B13="","",IF(F13+H13=0,0,F13/(F13+H13)))</f>
        <v/>
      </c>
      <c r="K13" s="43">
        <f>IF(G13+I13=0,0,G13/(G13+I13))</f>
        <v/>
      </c>
      <c r="L13" s="27" t="n">
        <v>1</v>
      </c>
      <c r="M13" s="27" t="n">
        <v>1</v>
      </c>
      <c r="N13" s="27" t="n">
        <v>3</v>
      </c>
      <c r="O13" s="27" t="n">
        <v>3</v>
      </c>
      <c r="P13" s="27">
        <f>IF(B13="",C13,C13-B13)</f>
        <v/>
      </c>
      <c r="Q13" s="27">
        <f>IF(N13="",O13,O13-N13)</f>
        <v/>
      </c>
      <c r="R13" s="27" t="inlineStr">
        <is>
          <t>Existente</t>
        </is>
      </c>
    </row>
    <row r="14" s="20">
      <c r="A14" s="42" t="inlineStr">
        <is>
          <t>ola.domain.streaks</t>
        </is>
      </c>
      <c r="B14" s="27" t="n">
        <v>48</v>
      </c>
      <c r="C14" s="27" t="n">
        <v>48</v>
      </c>
      <c r="D14" s="27" t="n">
        <v>3</v>
      </c>
      <c r="E14" s="27" t="n">
        <v>3</v>
      </c>
      <c r="F14" s="27" t="n">
        <v>2</v>
      </c>
      <c r="G14" s="27" t="n">
        <v>2</v>
      </c>
      <c r="H14" s="27" t="n">
        <v>2</v>
      </c>
      <c r="I14" s="27" t="n">
        <v>2</v>
      </c>
      <c r="J14" s="43">
        <f>IF(B14="","",IF(F14+H14=0,0,F14/(F14+H14)))</f>
        <v/>
      </c>
      <c r="K14" s="43">
        <f>IF(G14+I14=0,0,G14/(G14+I14))</f>
        <v/>
      </c>
      <c r="L14" s="27" t="n">
        <v>8</v>
      </c>
      <c r="M14" s="27" t="n">
        <v>8</v>
      </c>
      <c r="N14" s="27" t="n">
        <v>10</v>
      </c>
      <c r="O14" s="27" t="n">
        <v>10</v>
      </c>
      <c r="P14" s="27">
        <f>IF(B14="",C14,C14-B14)</f>
        <v/>
      </c>
      <c r="Q14" s="27">
        <f>IF(N14="",O14,O14-N14)</f>
        <v/>
      </c>
      <c r="R14" s="27" t="inlineStr">
        <is>
          <t>Existente</t>
        </is>
      </c>
    </row>
    <row r="15" s="20">
      <c r="A15" s="42" t="inlineStr">
        <is>
          <t>ola.mail</t>
        </is>
      </c>
      <c r="B15" s="27" t="n">
        <v>36</v>
      </c>
      <c r="C15" s="27" t="n">
        <v>36</v>
      </c>
      <c r="D15" s="27" t="n">
        <v>5</v>
      </c>
      <c r="E15" s="27" t="n">
        <v>5</v>
      </c>
      <c r="F15" s="27" t="n">
        <v>1</v>
      </c>
      <c r="G15" s="27" t="n">
        <v>1</v>
      </c>
      <c r="H15" s="27" t="n">
        <v>2</v>
      </c>
      <c r="I15" s="27" t="n">
        <v>3</v>
      </c>
      <c r="J15" s="43">
        <f>IF(B15="","",IF(F15+H15=0,0,F15/(F15+H15)))</f>
        <v/>
      </c>
      <c r="K15" s="43">
        <f>IF(G15+I15=0,0,G15/(G15+I15))</f>
        <v/>
      </c>
      <c r="L15" s="27" t="n">
        <v>3</v>
      </c>
      <c r="M15" s="27" t="n">
        <v>3</v>
      </c>
      <c r="N15" s="27" t="n">
        <v>8</v>
      </c>
      <c r="O15" s="27" t="n">
        <v>8</v>
      </c>
      <c r="P15" s="27">
        <f>IF(B15="",C15,C15-B15)</f>
        <v/>
      </c>
      <c r="Q15" s="27">
        <f>IF(N15="",O15,O15-N15)</f>
        <v/>
      </c>
      <c r="R15" s="27" t="inlineStr">
        <is>
          <t>Existente</t>
        </is>
      </c>
    </row>
    <row r="16" s="20">
      <c r="A16" s="42" t="inlineStr">
        <is>
          <t>ola.clock</t>
        </is>
      </c>
      <c r="B16" s="27" t="n">
        <v>13</v>
      </c>
      <c r="C16" s="27" t="n">
        <v>13</v>
      </c>
      <c r="D16" s="27" t="n">
        <v>4</v>
      </c>
      <c r="E16" s="27" t="n">
        <v>4</v>
      </c>
      <c r="F16" s="27" t="n">
        <v>0</v>
      </c>
      <c r="G16" s="27" t="n">
        <v>0</v>
      </c>
      <c r="H16" s="27" t="n">
        <v>0</v>
      </c>
      <c r="I16" s="27" t="n">
        <v>2</v>
      </c>
      <c r="J16" s="43">
        <f>IF(B16="","",IF(F16+H16=0,0,F16/(F16+H16)))</f>
        <v/>
      </c>
      <c r="K16" s="43">
        <f>IF(G16+I16=0,0,G16/(G16+I16))</f>
        <v/>
      </c>
      <c r="L16" s="27" t="n">
        <v>1</v>
      </c>
      <c r="M16" s="27" t="n">
        <v>1</v>
      </c>
      <c r="N16" s="27" t="n">
        <v>4</v>
      </c>
      <c r="O16" s="27" t="n">
        <v>4</v>
      </c>
      <c r="P16" s="27">
        <f>IF(B16="",C16,C16-B16)</f>
        <v/>
      </c>
      <c r="Q16" s="27">
        <f>IF(N16="",O16,O16-N16)</f>
        <v/>
      </c>
      <c r="R16" s="27" t="inlineStr">
        <is>
          <t>Existente</t>
        </is>
      </c>
    </row>
    <row r="17" s="20">
      <c r="A17" s="42" t="inlineStr">
        <is>
          <t>ola.db.models</t>
        </is>
      </c>
      <c r="B17" s="27" t="n">
        <v>229</v>
      </c>
      <c r="C17" s="27" t="n">
        <v>222</v>
      </c>
      <c r="D17" s="27" t="n">
        <v>9</v>
      </c>
      <c r="E17" s="27" t="n">
        <v>9</v>
      </c>
      <c r="F17" s="27" t="n">
        <v>0</v>
      </c>
      <c r="G17" s="27" t="n">
        <v>1</v>
      </c>
      <c r="H17" s="27" t="n">
        <v>20</v>
      </c>
      <c r="I17" s="27" t="n">
        <v>19</v>
      </c>
      <c r="J17" s="43">
        <f>IF(B17="","",IF(F17+H17=0,0,F17/(F17+H17)))</f>
        <v/>
      </c>
      <c r="K17" s="43">
        <f>IF(G17+I17=0,0,G17/(G17+I17))</f>
        <v/>
      </c>
      <c r="L17" s="27" t="n">
        <v>1</v>
      </c>
      <c r="M17" s="27" t="n">
        <v>1</v>
      </c>
      <c r="N17" s="27" t="n">
        <v>9</v>
      </c>
      <c r="O17" s="27" t="n">
        <v>9</v>
      </c>
      <c r="P17" s="27">
        <f>IF(B17="",C17,C17-B17)</f>
        <v/>
      </c>
      <c r="Q17" s="27">
        <f>IF(N17="",O17,O17-N17)</f>
        <v/>
      </c>
      <c r="R17" s="27" t="inlineStr">
        <is>
          <t>Existente</t>
        </is>
      </c>
    </row>
    <row r="18" s="20">
      <c r="A18" s="42" t="inlineStr">
        <is>
          <t>ola.api.routers.alerts</t>
        </is>
      </c>
      <c r="B18" s="27" t="n">
        <v>92</v>
      </c>
      <c r="C18" s="27" t="n">
        <v>92</v>
      </c>
      <c r="D18" s="27" t="n">
        <v>4</v>
      </c>
      <c r="E18" s="27" t="n">
        <v>4</v>
      </c>
      <c r="F18" s="27" t="n">
        <v>10</v>
      </c>
      <c r="G18" s="27" t="n">
        <v>10</v>
      </c>
      <c r="H18" s="27" t="n">
        <v>1</v>
      </c>
      <c r="I18" s="27" t="n">
        <v>1</v>
      </c>
      <c r="J18" s="43">
        <f>IF(B18="","",IF(F18+H18=0,0,F18/(F18+H18)))</f>
        <v/>
      </c>
      <c r="K18" s="43">
        <f>IF(G18+I18=0,0,G18/(G18+I18))</f>
        <v/>
      </c>
      <c r="L18" s="27" t="n">
        <v>3</v>
      </c>
      <c r="M18" s="27" t="n">
        <v>3</v>
      </c>
      <c r="N18" s="27" t="n">
        <v>7</v>
      </c>
      <c r="O18" s="27" t="n">
        <v>7</v>
      </c>
      <c r="P18" s="27">
        <f>IF(B18="",C18,C18-B18)</f>
        <v/>
      </c>
      <c r="Q18" s="27">
        <f>IF(N18="",O18,O18-N18)</f>
        <v/>
      </c>
      <c r="R18" s="27" t="inlineStr">
        <is>
          <t>Existente</t>
        </is>
      </c>
    </row>
    <row r="19" s="20">
      <c r="A19" s="42" t="inlineStr">
        <is>
          <t>ola.api.routers.subscriptions</t>
        </is>
      </c>
      <c r="B19" s="27" t="n">
        <v>81</v>
      </c>
      <c r="C19" s="27" t="n">
        <v>81</v>
      </c>
      <c r="D19" s="27" t="n">
        <v>6</v>
      </c>
      <c r="E19" s="27" t="n">
        <v>6</v>
      </c>
      <c r="F19" s="27" t="n">
        <v>6</v>
      </c>
      <c r="G19" s="27" t="n">
        <v>6</v>
      </c>
      <c r="H19" s="27" t="n">
        <v>1</v>
      </c>
      <c r="I19" s="27" t="n">
        <v>1</v>
      </c>
      <c r="J19" s="43">
        <f>IF(B19="","",IF(F19+H19=0,0,F19/(F19+H19)))</f>
        <v/>
      </c>
      <c r="K19" s="43">
        <f>IF(G19+I19=0,0,G19/(G19+I19))</f>
        <v/>
      </c>
      <c r="L19" s="27" t="n">
        <v>3</v>
      </c>
      <c r="M19" s="27" t="n">
        <v>3</v>
      </c>
      <c r="N19" s="27" t="n">
        <v>10</v>
      </c>
      <c r="O19" s="27" t="n">
        <v>10</v>
      </c>
      <c r="P19" s="27">
        <f>IF(B19="",C19,C19-B19)</f>
        <v/>
      </c>
      <c r="Q19" s="27">
        <f>IF(N19="",O19,O19-N19)</f>
        <v/>
      </c>
      <c r="R19" s="27" t="inlineStr">
        <is>
          <t>Existente</t>
        </is>
      </c>
    </row>
    <row r="20" s="20">
      <c r="A20" s="42" t="inlineStr">
        <is>
          <t>ola.api.deps</t>
        </is>
      </c>
      <c r="B20" s="27" t="n">
        <v>57</v>
      </c>
      <c r="C20" s="27" t="n">
        <v>61</v>
      </c>
      <c r="D20" s="27" t="n">
        <v>4</v>
      </c>
      <c r="E20" s="27" t="n">
        <v>5</v>
      </c>
      <c r="F20" s="27" t="n">
        <v>7</v>
      </c>
      <c r="G20" s="27" t="n">
        <v>8</v>
      </c>
      <c r="H20" s="27" t="n">
        <v>9</v>
      </c>
      <c r="I20" s="27" t="n">
        <v>9</v>
      </c>
      <c r="J20" s="43">
        <f>IF(B20="","",IF(F20+H20=0,0,F20/(F20+H20)))</f>
        <v/>
      </c>
      <c r="K20" s="43">
        <f>IF(G20+I20=0,0,G20/(G20+I20))</f>
        <v/>
      </c>
      <c r="L20" s="27" t="n">
        <v>4</v>
      </c>
      <c r="M20" s="27" t="n">
        <v>4</v>
      </c>
      <c r="N20" s="27" t="n">
        <v>8</v>
      </c>
      <c r="O20" s="27" t="n">
        <v>9</v>
      </c>
      <c r="P20" s="27">
        <f>IF(B20="",C20,C20-B20)</f>
        <v/>
      </c>
      <c r="Q20" s="27">
        <f>IF(N20="",O20,O20-N20)</f>
        <v/>
      </c>
      <c r="R20" s="27" t="inlineStr">
        <is>
          <t>Existente</t>
        </is>
      </c>
    </row>
    <row r="21" s="20">
      <c r="A21" s="42" t="inlineStr">
        <is>
          <t>Total del módulo revisado</t>
        </is>
      </c>
      <c r="B21" s="24">
        <f>SUM(B5:B20)</f>
        <v/>
      </c>
      <c r="C21" s="24">
        <f>SUM(C5:C20)</f>
        <v/>
      </c>
      <c r="D21" s="24">
        <f>SUM(D5:D20)</f>
        <v/>
      </c>
      <c r="E21" s="24">
        <f>SUM(E5:E20)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>
        <f>SUM(N5:N20)</f>
        <v/>
      </c>
      <c r="O21" s="24">
        <f>SUM(O5:O20)</f>
        <v/>
      </c>
      <c r="P21" s="24">
        <f>SUM(P5:P20)</f>
        <v/>
      </c>
      <c r="Q21" s="24">
        <f>SUM(Q5:Q20)</f>
        <v/>
      </c>
      <c r="R21" s="24" t="n"/>
    </row>
    <row r="22" s="20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</row>
    <row r="23" ht="30" customHeight="1" s="20">
      <c r="A23" s="31" t="inlineStr">
        <is>
          <t>NOM: funciones y métodos. Ce: módulos internos de los que depende. Ca: módulos internos de producción que dependen de él. I = Ce / (Ca + Ce). CCmáx / CCsum: complejidad ciclomática máxima y acumulada de sus funciones. Salidas en bruto: evidencias/E-03 y E-08.</t>
        </is>
      </c>
    </row>
  </sheetData>
  <mergeCells count="1">
    <mergeCell ref="A23:R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style="20" min="1" max="1"/>
    <col width="18" customWidth="1" style="20" min="2" max="2"/>
    <col width="18" customWidth="1" style="20" min="3" max="3"/>
    <col width="44" customWidth="1" style="20" min="4" max="4"/>
    <col width="18" customWidth="1" style="20" min="5" max="5"/>
    <col width="18" customWidth="1" style="20" min="6" max="6"/>
    <col width="18" customWidth="1" style="20" min="7" max="7"/>
  </cols>
  <sheetData>
    <row r="1">
      <c r="A1" s="44" t="inlineStr">
        <is>
          <t>Pruebas, cobertura y análisis estático, antes y después</t>
        </is>
      </c>
    </row>
    <row r="2">
      <c r="A2" s="45" t="inlineStr">
        <is>
          <t>Entorno del proyecto: imagen ola-api (Python 3.13.15, pytest 9.1.1, ruff 0.16.6, mypy 2.3.1) y PostgreSQL 17.11. Ejecutado el 06/10/2026. Salidas en bruto en evidencias/ (E-09).</t>
        </is>
      </c>
    </row>
    <row r="4" ht="30" customHeight="1" s="20">
      <c r="A4" s="41" t="inlineStr">
        <is>
          <t>Comprobación</t>
        </is>
      </c>
      <c r="B4" s="41" t="inlineStr">
        <is>
          <t>Antes (d5c054f)</t>
        </is>
      </c>
      <c r="C4" s="41" t="inlineStr">
        <is>
          <t>Después (parche)</t>
        </is>
      </c>
      <c r="D4" s="41" t="inlineStr">
        <is>
          <t>Fuente</t>
        </is>
      </c>
    </row>
    <row r="5">
      <c r="A5" s="42" t="inlineStr">
        <is>
          <t>Pruebas unitarias que pasan</t>
        </is>
      </c>
      <c r="B5" s="27" t="n">
        <v>212</v>
      </c>
      <c r="C5" s="27" t="n">
        <v>242</v>
      </c>
      <c r="D5" s="25" t="inlineStr">
        <is>
          <t>E-09_*_junit.xml</t>
        </is>
      </c>
    </row>
    <row r="6">
      <c r="A6" s="42" t="inlineStr">
        <is>
          <t>Pruebas de integración que pasan</t>
        </is>
      </c>
      <c r="B6" s="27" t="n">
        <v>230</v>
      </c>
      <c r="C6" s="27" t="n">
        <v>230</v>
      </c>
      <c r="D6" s="25" t="inlineStr">
        <is>
          <t>E-09_*_junit.xml</t>
        </is>
      </c>
    </row>
    <row r="7">
      <c r="A7" s="42" t="inlineStr">
        <is>
          <t>Pruebas omitidas</t>
        </is>
      </c>
      <c r="B7" s="27" t="n">
        <v>0</v>
      </c>
      <c r="C7" s="27" t="n">
        <v>0</v>
      </c>
      <c r="D7" s="25" t="inlineStr">
        <is>
          <t>Con el dataset montado en /dataset no se omite ninguna</t>
        </is>
      </c>
    </row>
    <row r="8">
      <c r="A8" s="42" t="inlineStr">
        <is>
          <t>Pruebas unitarias nuevas del diseño propuesto</t>
        </is>
      </c>
      <c r="B8" s="27" t="inlineStr">
        <is>
          <t>—</t>
        </is>
      </c>
      <c r="C8" s="27" t="n">
        <v>30</v>
      </c>
      <c r="D8" s="25" t="inlineStr">
        <is>
          <t>test_channels, test_notices, test_notification_dispatcher</t>
        </is>
      </c>
    </row>
    <row r="9">
      <c r="A9" s="42" t="inlineStr">
        <is>
          <t>Pruebas unitarias de la lógica de envío</t>
        </is>
      </c>
      <c r="B9" s="27" t="n">
        <v>0</v>
      </c>
      <c r="C9" s="27" t="n">
        <v>12</v>
      </c>
      <c r="D9" s="25" t="inlineStr">
        <is>
          <t>test_notification_dispatcher.py</t>
        </is>
      </c>
    </row>
    <row r="10">
      <c r="A10" s="42" t="inlineStr">
        <is>
          <t>Tiempo de las 34 pruebas de integración del envío</t>
        </is>
      </c>
      <c r="B10" s="27" t="inlineStr">
        <is>
          <t>12.53-12.90 s</t>
        </is>
      </c>
      <c r="C10" s="27" t="inlineStr">
        <is>
          <t>12.51-12.87 s</t>
        </is>
      </c>
      <c r="D10" s="25" t="inlineStr">
        <is>
          <t>E-09_tiempos_envio.txt (5 ejecuciones)</t>
        </is>
      </c>
    </row>
    <row r="11">
      <c r="A11" s="42" t="inlineStr">
        <is>
          <t>Tiempo de las 12 pruebas del despachador</t>
        </is>
      </c>
      <c r="B11" s="27" t="inlineStr">
        <is>
          <t>—</t>
        </is>
      </c>
      <c r="C11" s="27" t="inlineStr">
        <is>
          <t>0.02 s</t>
        </is>
      </c>
      <c r="D11" s="25" t="inlineStr">
        <is>
          <t>E-09_tiempos_envio.txt (5 ejecuciones)</t>
        </is>
      </c>
    </row>
    <row r="12">
      <c r="A12" s="42" t="inlineStr">
        <is>
          <t>Tiempo de las 30 pruebas nuevas</t>
        </is>
      </c>
      <c r="B12" s="27" t="inlineStr">
        <is>
          <t>—</t>
        </is>
      </c>
      <c r="C12" s="27" t="inlineStr">
        <is>
          <t>0.04 s</t>
        </is>
      </c>
      <c r="D12" s="25" t="inlineStr">
        <is>
          <t>E-09_tiempos_envio.txt (5 ejecuciones)</t>
        </is>
      </c>
    </row>
    <row r="13">
      <c r="A13" s="42" t="inlineStr">
        <is>
          <t>Cobertura de sentencias del backend</t>
        </is>
      </c>
      <c r="B13" s="46" t="n">
        <v>0.9511041009463722</v>
      </c>
      <c r="C13" s="46" t="n">
        <v>0.9538537064310261</v>
      </c>
      <c r="D13" s="25" t="inlineStr">
        <is>
          <t>E-09_*_cobertura.json</t>
        </is>
      </c>
    </row>
    <row r="14">
      <c r="A14" s="42" t="inlineStr">
        <is>
          <t>ruff check .</t>
        </is>
      </c>
      <c r="B14" s="27" t="inlineStr">
        <is>
          <t>Sin observaciones</t>
        </is>
      </c>
      <c r="C14" s="27" t="inlineStr">
        <is>
          <t>Sin observaciones</t>
        </is>
      </c>
      <c r="D14" s="25" t="inlineStr">
        <is>
          <t>E-09_*_pytest_ruff_mypy.txt</t>
        </is>
      </c>
    </row>
    <row r="15">
      <c r="A15" s="42" t="inlineStr">
        <is>
          <t>ruff format --check .</t>
        </is>
      </c>
      <c r="B15" s="27" t="inlineStr">
        <is>
          <t>1 archivo ajeno al módulo</t>
        </is>
      </c>
      <c r="C15" s="27" t="inlineStr">
        <is>
          <t>El mismo archivo</t>
        </is>
      </c>
      <c r="D15" s="25" t="inlineStr">
        <is>
          <t>tests/integration/test_auth_service.py</t>
        </is>
      </c>
    </row>
    <row r="16">
      <c r="A16" s="42" t="inlineStr">
        <is>
          <t>mypy src (estricto, con el complemento de pydantic)</t>
        </is>
      </c>
      <c r="B16" s="27" t="inlineStr">
        <is>
          <t>0 errores en 61 archivos</t>
        </is>
      </c>
      <c r="C16" s="27" t="inlineStr">
        <is>
          <t>0 errores en 64 archivos</t>
        </is>
      </c>
      <c r="D16" s="25" t="inlineStr">
        <is>
          <t>E-09_*_pytest_ruff_mypy.txt</t>
        </is>
      </c>
    </row>
    <row r="18">
      <c r="A18" s="47" t="inlineStr">
        <is>
          <t>Cobertura por módulo del alcance</t>
        </is>
      </c>
    </row>
    <row r="19" ht="30" customHeight="1" s="20">
      <c r="A19" s="41" t="inlineStr">
        <is>
          <t>Módulo</t>
        </is>
      </c>
      <c r="B19" s="41" t="inlineStr">
        <is>
          <t>Sentencias antes</t>
        </is>
      </c>
      <c r="C19" s="41" t="inlineStr">
        <is>
          <t>Sin cubrir antes</t>
        </is>
      </c>
      <c r="D19" s="41" t="inlineStr">
        <is>
          <t>Cobertura antes</t>
        </is>
      </c>
      <c r="E19" s="41" t="inlineStr">
        <is>
          <t>Sentencias después</t>
        </is>
      </c>
      <c r="F19" s="41" t="inlineStr">
        <is>
          <t>Sin cubrir después</t>
        </is>
      </c>
      <c r="G19" s="41" t="inlineStr">
        <is>
          <t>Cobertura después</t>
        </is>
      </c>
    </row>
    <row r="20">
      <c r="A20" s="42" t="inlineStr">
        <is>
          <t>ola.services.notification_service</t>
        </is>
      </c>
      <c r="B20" s="27" t="n">
        <v>78</v>
      </c>
      <c r="C20" s="27" t="n">
        <v>0</v>
      </c>
      <c r="D20" s="46">
        <f>IF(B20="","",(B20-C20)/B20)</f>
        <v/>
      </c>
      <c r="E20" s="27" t="n">
        <v>49</v>
      </c>
      <c r="F20" s="27" t="n">
        <v>0</v>
      </c>
      <c r="G20" s="46">
        <f>(E20-F20)/E20</f>
        <v/>
      </c>
    </row>
    <row r="21">
      <c r="A21" s="42" t="inlineStr">
        <is>
          <t>ola.services.notification_dispatcher</t>
        </is>
      </c>
      <c r="B21" s="27" t="n"/>
      <c r="C21" s="27" t="n"/>
      <c r="D21" s="46">
        <f>IF(B21="","",(B21-C21)/B21)</f>
        <v/>
      </c>
      <c r="E21" s="27" t="n">
        <v>34</v>
      </c>
      <c r="F21" s="27" t="n">
        <v>0</v>
      </c>
      <c r="G21" s="46">
        <f>(E21-F21)/E21</f>
        <v/>
      </c>
    </row>
    <row r="22">
      <c r="A22" s="42" t="inlineStr">
        <is>
          <t>ola.services.channels</t>
        </is>
      </c>
      <c r="B22" s="27" t="n"/>
      <c r="C22" s="27" t="n"/>
      <c r="D22" s="46">
        <f>IF(B22="","",(B22-C22)/B22)</f>
        <v/>
      </c>
      <c r="E22" s="27" t="n">
        <v>45</v>
      </c>
      <c r="F22" s="27" t="n">
        <v>0</v>
      </c>
      <c r="G22" s="46">
        <f>(E22-F22)/E22</f>
        <v/>
      </c>
    </row>
    <row r="23">
      <c r="A23" s="42" t="inlineStr">
        <is>
          <t>ola.domain.notices</t>
        </is>
      </c>
      <c r="B23" s="27" t="n"/>
      <c r="C23" s="27" t="n"/>
      <c r="D23" s="46">
        <f>IF(B23="","",(B23-C23)/B23)</f>
        <v/>
      </c>
      <c r="E23" s="27" t="n">
        <v>50</v>
      </c>
      <c r="F23" s="27" t="n">
        <v>0</v>
      </c>
      <c r="G23" s="46">
        <f>(E23-F23)/E23</f>
        <v/>
      </c>
    </row>
    <row r="24">
      <c r="A24" s="42" t="inlineStr">
        <is>
          <t>ola.repositories.notifications_repo</t>
        </is>
      </c>
      <c r="B24" s="27" t="n">
        <v>18</v>
      </c>
      <c r="C24" s="27" t="n">
        <v>0</v>
      </c>
      <c r="D24" s="46">
        <f>IF(B24="","",(B24-C24)/B24)</f>
        <v/>
      </c>
      <c r="E24" s="27" t="n">
        <v>48</v>
      </c>
      <c r="F24" s="27" t="n">
        <v>1</v>
      </c>
      <c r="G24" s="46">
        <f>(E24-F24)/E24</f>
        <v/>
      </c>
    </row>
    <row r="25">
      <c r="A25" s="42" t="inlineStr">
        <is>
          <t>ola.repositories.alerts_repo</t>
        </is>
      </c>
      <c r="B25" s="27" t="n">
        <v>19</v>
      </c>
      <c r="C25" s="27" t="n">
        <v>0</v>
      </c>
      <c r="D25" s="46">
        <f>IF(B25="","",(B25-C25)/B25)</f>
        <v/>
      </c>
      <c r="E25" s="27" t="n">
        <v>27</v>
      </c>
      <c r="F25" s="27" t="n">
        <v>0</v>
      </c>
      <c r="G25" s="46">
        <f>(E25-F25)/E25</f>
        <v/>
      </c>
    </row>
    <row r="26">
      <c r="A26" s="42" t="inlineStr">
        <is>
          <t>ola.repositories.subscriptions_repo</t>
        </is>
      </c>
      <c r="B26" s="27" t="n">
        <v>24</v>
      </c>
      <c r="C26" s="27" t="n">
        <v>0</v>
      </c>
      <c r="D26" s="46">
        <f>IF(B26="","",(B26-C26)/B26)</f>
        <v/>
      </c>
      <c r="E26" s="27" t="n">
        <v>24</v>
      </c>
      <c r="F26" s="27" t="n">
        <v>0</v>
      </c>
      <c r="G26" s="46">
        <f>(E26-F26)/E26</f>
        <v/>
      </c>
    </row>
    <row r="27">
      <c r="A27" s="42" t="inlineStr">
        <is>
          <t>ola.services.alert_service</t>
        </is>
      </c>
      <c r="B27" s="27" t="n">
        <v>69</v>
      </c>
      <c r="C27" s="27" t="n">
        <v>2</v>
      </c>
      <c r="D27" s="46">
        <f>IF(B27="","",(B27-C27)/B27)</f>
        <v/>
      </c>
      <c r="E27" s="27" t="n">
        <v>69</v>
      </c>
      <c r="F27" s="27" t="n">
        <v>2</v>
      </c>
      <c r="G27" s="46">
        <f>(E27-F27)/E27</f>
        <v/>
      </c>
    </row>
    <row r="28">
      <c r="A28" s="42" t="inlineStr">
        <is>
          <t>ola.domain.messages</t>
        </is>
      </c>
      <c r="B28" s="27" t="n">
        <v>23</v>
      </c>
      <c r="C28" s="27" t="n">
        <v>0</v>
      </c>
      <c r="D28" s="46">
        <f>IF(B28="","",(B28-C28)/B28)</f>
        <v/>
      </c>
      <c r="E28" s="27" t="n">
        <v>23</v>
      </c>
      <c r="F28" s="27" t="n">
        <v>0</v>
      </c>
      <c r="G28" s="46">
        <f>(E28-F28)/E28</f>
        <v/>
      </c>
    </row>
    <row r="29">
      <c r="A29" s="42" t="inlineStr">
        <is>
          <t>ola.domain.streaks</t>
        </is>
      </c>
      <c r="B29" s="27" t="n">
        <v>37</v>
      </c>
      <c r="C29" s="27" t="n">
        <v>0</v>
      </c>
      <c r="D29" s="46">
        <f>IF(B29="","",(B29-C29)/B29)</f>
        <v/>
      </c>
      <c r="E29" s="27" t="n">
        <v>37</v>
      </c>
      <c r="F29" s="27" t="n">
        <v>0</v>
      </c>
      <c r="G29" s="46">
        <f>(E29-F29)/E29</f>
        <v/>
      </c>
    </row>
    <row r="30">
      <c r="A30" s="42" t="inlineStr">
        <is>
          <t>ola.mail</t>
        </is>
      </c>
      <c r="B30" s="27" t="n">
        <v>35</v>
      </c>
      <c r="C30" s="27" t="n">
        <v>12</v>
      </c>
      <c r="D30" s="46">
        <f>IF(B30="","",(B30-C30)/B30)</f>
        <v/>
      </c>
      <c r="E30" s="27" t="n">
        <v>35</v>
      </c>
      <c r="F30" s="27" t="n">
        <v>12</v>
      </c>
      <c r="G30" s="46">
        <f>(E30-F30)/E30</f>
        <v/>
      </c>
    </row>
    <row r="31">
      <c r="A31" s="42" t="inlineStr">
        <is>
          <t>ola.clock</t>
        </is>
      </c>
      <c r="B31" s="27" t="n">
        <v>12</v>
      </c>
      <c r="C31" s="27" t="n">
        <v>0</v>
      </c>
      <c r="D31" s="46">
        <f>IF(B31="","",(B31-C31)/B31)</f>
        <v/>
      </c>
      <c r="E31" s="27" t="n">
        <v>12</v>
      </c>
      <c r="F31" s="27" t="n">
        <v>0</v>
      </c>
      <c r="G31" s="46">
        <f>(E31-F31)/E31</f>
        <v/>
      </c>
    </row>
    <row r="32">
      <c r="A32" s="42" t="inlineStr">
        <is>
          <t>ola.db.models</t>
        </is>
      </c>
      <c r="B32" s="27" t="n">
        <v>140</v>
      </c>
      <c r="C32" s="27" t="n">
        <v>8</v>
      </c>
      <c r="D32" s="46">
        <f>IF(B32="","",(B32-C32)/B32)</f>
        <v/>
      </c>
      <c r="E32" s="27" t="n">
        <v>133</v>
      </c>
      <c r="F32" s="27" t="n">
        <v>8</v>
      </c>
      <c r="G32" s="46">
        <f>(E32-F32)/E32</f>
        <v/>
      </c>
    </row>
    <row r="33">
      <c r="A33" s="42" t="inlineStr">
        <is>
          <t>ola.api.routers.alerts</t>
        </is>
      </c>
      <c r="B33" s="27" t="n">
        <v>36</v>
      </c>
      <c r="C33" s="27" t="n">
        <v>1</v>
      </c>
      <c r="D33" s="46">
        <f>IF(B33="","",(B33-C33)/B33)</f>
        <v/>
      </c>
      <c r="E33" s="27" t="n">
        <v>36</v>
      </c>
      <c r="F33" s="27" t="n">
        <v>1</v>
      </c>
      <c r="G33" s="46">
        <f>(E33-F33)/E33</f>
        <v/>
      </c>
    </row>
    <row r="34">
      <c r="A34" s="42" t="inlineStr">
        <is>
          <t>ola.api.routers.subscriptions</t>
        </is>
      </c>
      <c r="B34" s="27" t="n">
        <v>39</v>
      </c>
      <c r="C34" s="27" t="n">
        <v>1</v>
      </c>
      <c r="D34" s="46">
        <f>IF(B34="","",(B34-C34)/B34)</f>
        <v/>
      </c>
      <c r="E34" s="27" t="n">
        <v>39</v>
      </c>
      <c r="F34" s="27" t="n">
        <v>1</v>
      </c>
      <c r="G34" s="46">
        <f>(E34-F34)/E34</f>
        <v/>
      </c>
    </row>
    <row r="35">
      <c r="A35" s="42" t="inlineStr">
        <is>
          <t>ola.api.deps</t>
        </is>
      </c>
      <c r="B35" s="27" t="n">
        <v>42</v>
      </c>
      <c r="C35" s="27" t="n">
        <v>1</v>
      </c>
      <c r="D35" s="46">
        <f>IF(B35="","",(B35-C35)/B35)</f>
        <v/>
      </c>
      <c r="E35" s="27" t="n">
        <v>46</v>
      </c>
      <c r="F35" s="27" t="n">
        <v>1</v>
      </c>
      <c r="G35" s="46">
        <f>(E35-F35)/E35</f>
        <v/>
      </c>
    </row>
    <row r="36">
      <c r="A36" s="42" t="inlineStr">
        <is>
          <t>Total del alcance</t>
        </is>
      </c>
      <c r="B36" s="24">
        <f>SUM(B20:B35)</f>
        <v/>
      </c>
      <c r="C36" s="24">
        <f>SUM(C20:C35)</f>
        <v/>
      </c>
      <c r="D36" s="48">
        <f>(B36-C36)/B36</f>
        <v/>
      </c>
      <c r="E36" s="24">
        <f>SUM(E20:E35)</f>
        <v/>
      </c>
      <c r="F36" s="24">
        <f>SUM(F20:F35)</f>
        <v/>
      </c>
      <c r="G36" s="48">
        <f>(E36-F36)/E36</f>
        <v/>
      </c>
    </row>
    <row r="38" ht="30" customHeight="1" s="20">
      <c r="A38" s="49" t="inlineStr">
        <is>
          <t>Cobertura de sentencias medida con pytest --cov=ola sobre toda la suite. La cobertura del alcance suma los 16 módulos de la hoja «Métricas».</t>
        </is>
      </c>
    </row>
  </sheetData>
  <mergeCells count="1">
    <mergeCell ref="A38:G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8" customWidth="1" style="19" min="1" max="1"/>
    <col width="16" customWidth="1" style="19" min="2" max="2"/>
    <col width="18" customWidth="1" style="19" min="3" max="3"/>
    <col width="14" customWidth="1" style="19" min="4" max="4"/>
    <col width="70" customWidth="1" style="19" min="5" max="5"/>
  </cols>
  <sheetData>
    <row r="1" ht="17.35" customHeight="1" s="20">
      <c r="A1" s="50" t="inlineStr">
        <is>
          <t>Escenario de cambio: añadir un canal de aviso (pasarela de mensajería por webhook)</t>
        </is>
      </c>
    </row>
    <row r="2" s="20">
      <c r="A2" s="40" t="inlineStr">
        <is>
          <t>El mismo cambio se implementó sobre los dos diseños con la misma especificación: canal siempre activo; sin OLA_WEBHOOK_URL la entrega falla y queda para reintento. Medido con git diff --numstat sobre backend/src y con pytest. Parches en escenario_webhook/.</t>
        </is>
      </c>
      <c r="B2" s="30" t="n"/>
      <c r="C2" s="30" t="n"/>
      <c r="D2" s="30" t="n"/>
      <c r="E2" s="30" t="n"/>
    </row>
    <row r="3" s="20">
      <c r="A3" s="30" t="n"/>
      <c r="B3" s="30" t="n"/>
      <c r="C3" s="30" t="n"/>
      <c r="D3" s="30" t="n"/>
      <c r="E3" s="30" t="n"/>
    </row>
    <row r="4" ht="30" customHeight="1" s="20">
      <c r="A4" s="41" t="inlineStr">
        <is>
          <t>Indicador</t>
        </is>
      </c>
      <c r="B4" s="41" t="inlineStr">
        <is>
          <t>Diseño actual</t>
        </is>
      </c>
      <c r="C4" s="41" t="inlineStr">
        <is>
          <t>Diseño propuesto</t>
        </is>
      </c>
      <c r="D4" s="41" t="inlineStr">
        <is>
          <t>Diferencia</t>
        </is>
      </c>
      <c r="E4" s="41" t="inlineStr">
        <is>
          <t>Cómo se midió</t>
        </is>
      </c>
    </row>
    <row r="5" ht="30" customHeight="1" s="20">
      <c r="A5" s="42" t="inlineStr">
        <is>
          <t>Archivos de código modificados o creados</t>
        </is>
      </c>
      <c r="B5" s="27" t="n">
        <v>7</v>
      </c>
      <c r="C5" s="27" t="n">
        <v>5</v>
      </c>
      <c r="D5" s="27">
        <f>C5-B5</f>
        <v/>
      </c>
      <c r="E5" s="25" t="inlineStr">
        <is>
          <t>git diff --numstat</t>
        </is>
      </c>
    </row>
    <row r="6" ht="30" customHeight="1" s="20">
      <c r="A6" s="42" t="inlineStr">
        <is>
          <t>Módulos existentes modificados</t>
        </is>
      </c>
      <c r="B6" s="27" t="n">
        <v>6</v>
      </c>
      <c r="C6" s="27" t="n">
        <v>4</v>
      </c>
      <c r="D6" s="27">
        <f>C6-B6</f>
        <v/>
      </c>
      <c r="E6" s="25" t="inlineStr">
        <is>
          <t>Archivos que ya existían y cambian</t>
        </is>
      </c>
    </row>
    <row r="7" ht="30" customHeight="1" s="20">
      <c r="A7" s="42" t="inlineStr">
        <is>
          <t>Módulos nuevos (cliente de la pasarela, idéntico en ambos)</t>
        </is>
      </c>
      <c r="B7" s="27" t="n">
        <v>1</v>
      </c>
      <c r="C7" s="27" t="n">
        <v>1</v>
      </c>
      <c r="D7" s="27">
        <f>C7-B7</f>
        <v/>
      </c>
      <c r="E7" s="25" t="inlineStr">
        <is>
          <t>webhook.py, 49 líneas</t>
        </is>
      </c>
    </row>
    <row r="8" ht="30" customHeight="1" s="20">
      <c r="A8" s="42" t="inlineStr">
        <is>
          <t>Líneas añadidas</t>
        </is>
      </c>
      <c r="B8" s="27" t="n">
        <v>88</v>
      </c>
      <c r="C8" s="27" t="n">
        <v>87</v>
      </c>
      <c r="D8" s="27">
        <f>C8-B8</f>
        <v/>
      </c>
      <c r="E8" s="25" t="inlineStr">
        <is>
          <t>git diff --numstat</t>
        </is>
      </c>
    </row>
    <row r="9" ht="30" customHeight="1" s="20">
      <c r="A9" s="42" t="inlineStr">
        <is>
          <t>Líneas de código existente eliminadas o reescritas</t>
        </is>
      </c>
      <c r="B9" s="27" t="n">
        <v>13</v>
      </c>
      <c r="C9" s="27" t="n">
        <v>4</v>
      </c>
      <c r="D9" s="27">
        <f>C9-B9</f>
        <v/>
      </c>
      <c r="E9" s="25" t="inlineStr">
        <is>
          <t>git diff --numstat</t>
        </is>
      </c>
    </row>
    <row r="10" ht="30" customHeight="1" s="20">
      <c r="A10" s="42" t="inlineStr">
        <is>
          <t>Líneas tocadas en el servicio de avisos, que contiene el bucle de envío</t>
        </is>
      </c>
      <c r="B10" s="27" t="n">
        <v>28</v>
      </c>
      <c r="C10" s="27" t="n">
        <v>0</v>
      </c>
      <c r="D10" s="27">
        <f>C10-B10</f>
        <v/>
      </c>
      <c r="E10" s="25" t="inlineStr">
        <is>
          <t>notification_service.py (+21 −7); en el diseño propuesto no cambian ni el servicio ni el despachador</t>
        </is>
      </c>
    </row>
    <row r="11" ht="30" customHeight="1" s="20">
      <c r="A11" s="42" t="inlineStr">
        <is>
          <t>Líneas tocadas en el repositorio de avisos</t>
        </is>
      </c>
      <c r="B11" s="27" t="n">
        <v>6</v>
      </c>
      <c r="C11" s="27" t="n">
        <v>0</v>
      </c>
      <c r="D11" s="27">
        <f>C11-B11</f>
        <v/>
      </c>
      <c r="E11" s="25" t="inlineStr">
        <is>
          <t>notifications_repo.py (+3 −3)</t>
        </is>
      </c>
    </row>
    <row r="12" ht="30" customHeight="1" s="20">
      <c r="A12" s="42" t="inlineStr">
        <is>
          <t>Líneas tocadas en el router</t>
        </is>
      </c>
      <c r="B12" s="27" t="n">
        <v>6</v>
      </c>
      <c r="C12" s="27" t="n">
        <v>0</v>
      </c>
      <c r="D12" s="27">
        <f>C12-B12</f>
        <v/>
      </c>
      <c r="E12" s="25" t="inlineStr">
        <is>
          <t>routers/alerts.py (+3 −3)</t>
        </is>
      </c>
    </row>
    <row r="13" ht="30" customHeight="1" s="20">
      <c r="A13" s="42" t="inlineStr">
        <is>
          <t>Complejidad ciclomática del bucle de envío (antes del cambio: 4 en ambos)</t>
        </is>
      </c>
      <c r="B13" s="27" t="n">
        <v>6</v>
      </c>
      <c r="C13" s="27" t="n">
        <v>4</v>
      </c>
      <c r="D13" s="27">
        <f>C13-B13</f>
        <v/>
      </c>
      <c r="E13" s="25" t="inlineStr">
        <is>
          <t>send_pending del servicio frente a NotificationDispatcher.send_pending</t>
        </is>
      </c>
    </row>
    <row r="14" ht="30" customHeight="1" s="20">
      <c r="A14" s="42" t="inlineStr">
        <is>
          <t>Pruebas existentes que dejan de pasar</t>
        </is>
      </c>
      <c r="B14" s="27" t="n">
        <v>11</v>
      </c>
      <c r="C14" s="27" t="n">
        <v>12</v>
      </c>
      <c r="D14" s="27">
        <f>C14-B14</f>
        <v/>
      </c>
      <c r="E14" s="25" t="inlineStr">
        <is>
          <t>pytest sobre la suite completa (442 y 472 pruebas), con la base de pruebas recreada</t>
        </is>
      </c>
    </row>
    <row r="15" ht="30" customHeight="1" s="20">
      <c r="A15" s="42" t="inlineStr">
        <is>
          <t xml:space="preserve">  de ellas, cuentan los avisos registrados por episodio</t>
        </is>
      </c>
      <c r="B15" s="27" t="n">
        <v>6</v>
      </c>
      <c r="C15" s="27" t="n">
        <v>6</v>
      </c>
      <c r="D15" s="27">
        <f>C15-B15</f>
        <v/>
      </c>
      <c r="E15" s="25" t="inlineStr">
        <is>
          <t>Ahora son 3 avisos por episodio en lugar de 2</t>
        </is>
      </c>
    </row>
    <row r="16" ht="30" customHeight="1" s="20">
      <c r="A16" s="42" t="inlineStr">
        <is>
          <t xml:space="preserve">  de ellas, comprueban el resumen del envío</t>
        </is>
      </c>
      <c r="B16" s="27" t="n">
        <v>5</v>
      </c>
      <c r="C16" s="27" t="n">
        <v>5</v>
      </c>
      <c r="D16" s="27">
        <f>C16-B16</f>
        <v/>
      </c>
      <c r="E16" s="25" t="inlineStr">
        <is>
          <t>Los avisos webhook se intentan y fallan sin URL configurada</t>
        </is>
      </c>
    </row>
    <row r="17" ht="30" customHeight="1" s="20">
      <c r="A17" s="42" t="inlineStr">
        <is>
          <t xml:space="preserve">  de ellas, fijan qué canales requieren envío</t>
        </is>
      </c>
      <c r="B17" s="27" t="n">
        <v>0</v>
      </c>
      <c r="C17" s="27" t="n">
        <v>1</v>
      </c>
      <c r="D17" s="27">
        <f>C17-B17</f>
        <v/>
      </c>
      <c r="E17" s="25" t="inlineStr">
        <is>
          <t>test_solo_el_correo_requiere_envio, que solo existe en el diseño propuesto</t>
        </is>
      </c>
    </row>
    <row r="19" ht="30" customHeight="1" s="20">
      <c r="A19" s="49" t="inlineStr">
        <is>
          <t>En ambos diseños hace falta además una migración de Alembic para el tipo enumerado notification_channel (H-11). Las pruebas comunes que fallan lo hacen por el cambio de especificación, no por un defecto: deben actualizarse en cualquier diseño.</t>
        </is>
      </c>
    </row>
  </sheetData>
  <mergeCells count="1">
    <mergeCell ref="A19:E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9" min="1" max="1"/>
    <col width="8" customWidth="1" style="19" min="2" max="2"/>
    <col width="20" customWidth="1" style="19" min="3" max="3"/>
    <col width="18" customWidth="1" style="19" min="4" max="5"/>
    <col width="80" customWidth="1" style="19" min="6" max="6"/>
  </cols>
  <sheetData>
    <row r="1" ht="17.35" customHeight="1" s="20">
      <c r="A1" s="21" t="inlineStr">
        <is>
          <t>Comparación de alternativas de refactorización (matriz ponderada)</t>
        </is>
      </c>
    </row>
    <row r="2" ht="15" customHeight="1" s="20">
      <c r="A2" s="22" t="inlineStr">
        <is>
          <t>Puntuación de 1 (peor) a 5 (mejor). En esfuerzo y riesgo, 5 significa menor esfuerzo y menor riesgo.</t>
        </is>
      </c>
    </row>
    <row r="4" ht="30" customHeight="1" s="20">
      <c r="A4" s="23" t="inlineStr">
        <is>
          <t>Criterio</t>
        </is>
      </c>
      <c r="B4" s="23" t="inlineStr">
        <is>
          <t>Peso</t>
        </is>
      </c>
      <c r="C4" s="23" t="inlineStr">
        <is>
          <t>A. Puertos y canales (elegida)</t>
        </is>
      </c>
      <c r="D4" s="23" t="inlineStr">
        <is>
          <t>B. Cambio mínimo</t>
        </is>
      </c>
      <c r="E4" s="23" t="inlineStr">
        <is>
          <t>C. Cola asíncrona</t>
        </is>
      </c>
      <c r="F4" s="23" t="inlineStr">
        <is>
          <t>Justificación</t>
        </is>
      </c>
    </row>
    <row r="5" ht="23.85" customHeight="1" s="20">
      <c r="A5" s="39" t="inlineStr">
        <is>
          <t>Modificabilidad (canal o tipo de aviso nuevo)</t>
        </is>
      </c>
      <c r="B5" s="51" t="n">
        <v>0.3</v>
      </c>
      <c r="C5" s="37" t="n">
        <v>5</v>
      </c>
      <c r="D5" s="37" t="n">
        <v>3</v>
      </c>
      <c r="E5" s="37" t="n">
        <v>5</v>
      </c>
      <c r="F5" s="33" t="inlineStr">
        <is>
          <t>A y C añaden un canal sin tocar el envío; B conserva un condicional por canal en el servicio.</t>
        </is>
      </c>
    </row>
    <row r="6" ht="23.85" customHeight="1" s="20">
      <c r="A6" s="39" t="inlineStr">
        <is>
          <t>Comprobabilidad (pruebas sin infraestructura)</t>
        </is>
      </c>
      <c r="B6" s="51" t="n">
        <v>0.25</v>
      </c>
      <c r="C6" s="37" t="n">
        <v>5</v>
      </c>
      <c r="D6" s="37" t="n">
        <v>2</v>
      </c>
      <c r="E6" s="37" t="n">
        <v>4</v>
      </c>
      <c r="F6" s="33" t="inlineStr">
        <is>
          <t>A prueba el envío con dobles en memoria; B sigue necesitando PostgreSQL; C necesita además el intermediario de la cola.</t>
        </is>
      </c>
    </row>
    <row r="7" ht="23.85" customHeight="1" s="20">
      <c r="A7" s="39" t="inlineStr">
        <is>
          <t>Esfuerzo de implementación</t>
        </is>
      </c>
      <c r="B7" s="51" t="n">
        <v>0.2</v>
      </c>
      <c r="C7" s="37" t="n">
        <v>3</v>
      </c>
      <c r="D7" s="37" t="n">
        <v>5</v>
      </c>
      <c r="E7" s="37" t="n">
        <v>1</v>
      </c>
      <c r="F7" s="33" t="inlineStr">
        <is>
          <t>B se estima en unas 40 líneas; A son 3 módulos nuevos y 30 pruebas (medido); C añade un trabajador, una cola y su despliegue.</t>
        </is>
      </c>
    </row>
    <row r="8" ht="23.85" customHeight="1" s="20">
      <c r="A8" s="39" t="inlineStr">
        <is>
          <t>Riesgo de regresión</t>
        </is>
      </c>
      <c r="B8" s="51" t="n">
        <v>0.15</v>
      </c>
      <c r="C8" s="37" t="n">
        <v>4</v>
      </c>
      <c r="D8" s="37" t="n">
        <v>5</v>
      </c>
      <c r="E8" s="37" t="n">
        <v>2</v>
      </c>
      <c r="F8" s="33" t="inlineStr">
        <is>
          <t>A conserva las firmas públicas y pasa las 442 pruebas previas (medido); B cambia aún menos código; C cambia el momento del envío.</t>
        </is>
      </c>
    </row>
    <row r="9" ht="23.85" customHeight="1" s="20">
      <c r="A9" s="39" t="inlineStr">
        <is>
          <t>Comprensibilidad para el equipo</t>
        </is>
      </c>
      <c r="B9" s="51" t="n">
        <v>0.1</v>
      </c>
      <c r="C9" s="37" t="n">
        <v>3</v>
      </c>
      <c r="D9" s="37" t="n">
        <v>4</v>
      </c>
      <c r="E9" s="37" t="n">
        <v>2</v>
      </c>
      <c r="F9" s="33" t="inlineStr">
        <is>
          <t>A introduce protocolos e inyección; B se lee como el código actual; C exige razonar sobre concurrencia.</t>
        </is>
      </c>
    </row>
    <row r="10" ht="15" customHeight="1" s="20">
      <c r="A10" s="39" t="inlineStr">
        <is>
          <t>Total ponderado</t>
        </is>
      </c>
      <c r="B10" s="52">
        <f>SUM(B5:B9)</f>
        <v/>
      </c>
      <c r="C10" s="53">
        <f>SUMPRODUCT($B$5:$B$9,C5:C9)</f>
        <v/>
      </c>
      <c r="D10" s="53">
        <f>SUMPRODUCT($B$5:$B$9,D5:D9)</f>
        <v/>
      </c>
      <c r="E10" s="53">
        <f>SUMPRODUCT($B$5:$B$9,E5:E9)</f>
        <v/>
      </c>
      <c r="F10" s="33" t="inlineStr">
        <is>
          <t>Suma de peso × puntuación.</t>
        </is>
      </c>
    </row>
    <row r="12" ht="15" customHeight="1" s="20">
      <c r="A12" s="54" t="inlineStr">
        <is>
          <t>A: contrato Channel, registro de canales, NotificationStore y despachador con reloj inyectado. B: mover el SQL al repositorio y añadir un condicional por canal. C: publicar los avisos en una cola y enviarlos con un trabajador en segundo plano.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Equipo OLA</dc:creator>
  <dc:title>Matriz de hallazgos — Práctica de Laboratorio 02 — OLA</dc:title>
  <dc:language>en-US</dc:language>
  <dcterms:created xsi:type="dcterms:W3CDTF">2026-10-06T02:56:38Z</dcterms:created>
  <dcterms:modified xsi:type="dcterms:W3CDTF">2026-10-06T07:31:03Z</dcterms:modified>
  <cp:revision>0</cp:revision>
</cp:coreProperties>
</file>